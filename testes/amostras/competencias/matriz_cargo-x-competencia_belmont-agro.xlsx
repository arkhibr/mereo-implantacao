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mereo07.sharepoint.com/sites/MereoFilesCenter/Documentos Compartilhados/Sucesso do Cliente/4 - Carteira de clientes Mereo/Grupo Belmont/GC/Enviado pelo cliente/"/>
    </mc:Choice>
  </mc:AlternateContent>
  <xr:revisionPtr revIDLastSave="1004" documentId="8_{FB68ED12-E71D-4DA3-ABD6-DAAE74429345}" xr6:coauthVersionLast="47" xr6:coauthVersionMax="47" xr10:uidLastSave="{5444F9E9-8DE5-4C2D-9CF7-703515A2AFF3}"/>
  <bookViews>
    <workbookView xWindow="-120" yWindow="-120" windowWidth="20730" windowHeight="11160" firstSheet="1" activeTab="1" xr2:uid="{00000000-000D-0000-FFFF-FFFF00000000}"/>
  </bookViews>
  <sheets>
    <sheet name="Agro" sheetId="1" r:id="rId1"/>
    <sheet name="Operacional" sheetId="3" r:id="rId2"/>
    <sheet name="Encarregado" sheetId="31" r:id="rId3"/>
    <sheet name="Gerente" sheetId="26" r:id="rId4"/>
    <sheet name="Referências" sheetId="5" r:id="rId5"/>
    <sheet name="Resultado" sheetId="6" state="hidden" r:id="rId6"/>
  </sheets>
  <externalReferences>
    <externalReference r:id="rId7"/>
  </externalReferences>
  <definedNames>
    <definedName name="_DAT1" localSheetId="0">#REF!</definedName>
    <definedName name="_DAT1" localSheetId="4">#REF!</definedName>
    <definedName name="_DAT1">#REF!</definedName>
    <definedName name="_DAT10" localSheetId="4">#REF!</definedName>
    <definedName name="_DAT10">#REF!</definedName>
    <definedName name="_dat105" localSheetId="4">#REF!</definedName>
    <definedName name="_dat105">#REF!</definedName>
    <definedName name="_DAT11" localSheetId="4">#REF!</definedName>
    <definedName name="_DAT11">#REF!</definedName>
    <definedName name="_DAT12" localSheetId="4">#REF!</definedName>
    <definedName name="_DAT12">#REF!</definedName>
    <definedName name="_DAT13" localSheetId="4">#REF!</definedName>
    <definedName name="_DAT13">#REF!</definedName>
    <definedName name="_DAT14" localSheetId="4">#REF!</definedName>
    <definedName name="_DAT14">#REF!</definedName>
    <definedName name="_DAT15" localSheetId="4">#REF!</definedName>
    <definedName name="_DAT15">#REF!</definedName>
    <definedName name="_DAT16" localSheetId="4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19" localSheetId="4">#REF!</definedName>
    <definedName name="_DAT19">#REF!</definedName>
    <definedName name="_DAT2" localSheetId="4">#REF!</definedName>
    <definedName name="_DAT2">#REF!</definedName>
    <definedName name="_DAT20" localSheetId="4">#REF!</definedName>
    <definedName name="_DAT20">#REF!</definedName>
    <definedName name="_DAT3" localSheetId="4">#REF!</definedName>
    <definedName name="_DAT3">#REF!</definedName>
    <definedName name="_DAT4" localSheetId="4">#REF!</definedName>
    <definedName name="_DAT4">#REF!</definedName>
    <definedName name="_DAT5" localSheetId="4">#REF!</definedName>
    <definedName name="_DAT5">#REF!</definedName>
    <definedName name="_DAT6" localSheetId="4">#REF!</definedName>
    <definedName name="_DAT6">#REF!</definedName>
    <definedName name="_DAT7" localSheetId="4">#REF!</definedName>
    <definedName name="_DAT7">#REF!</definedName>
    <definedName name="_DAT8" localSheetId="4">#REF!</definedName>
    <definedName name="_DAT8">#REF!</definedName>
    <definedName name="_DAT9" localSheetId="4">#REF!</definedName>
    <definedName name="_DAT9">#REF!</definedName>
    <definedName name="ACUMULACAO" localSheetId="4">#REF!</definedName>
    <definedName name="ACUMULACAO">#REF!</definedName>
    <definedName name="Administrativo" localSheetId="4">#REF!</definedName>
    <definedName name="Administrativo">#REF!</definedName>
    <definedName name="Format2Print">#REF!</definedName>
    <definedName name="IDCARGO" localSheetId="0">#REF!</definedName>
    <definedName name="IDCARGO" localSheetId="4">#REF!</definedName>
    <definedName name="IDCARGO">#REF!</definedName>
    <definedName name="NP" localSheetId="4">#REF!</definedName>
    <definedName name="NP">#REF!</definedName>
    <definedName name="QP" localSheetId="4">#REF!</definedName>
    <definedName name="QP">#REF!</definedName>
    <definedName name="TABMOL" localSheetId="4">#REF!</definedName>
    <definedName name="TABMOL">#REF!</definedName>
    <definedName name="TEST1" localSheetId="4">#REF!</definedName>
    <definedName name="TEST1">#REF!</definedName>
    <definedName name="TEST2" localSheetId="4">#REF!</definedName>
    <definedName name="TEST2">#REF!</definedName>
    <definedName name="TEST3" localSheetId="4">#REF!</definedName>
    <definedName name="TEST3">#REF!</definedName>
    <definedName name="TEST4" localSheetId="4">#REF!</definedName>
    <definedName name="TEST4">#REF!</definedName>
    <definedName name="TEST5" localSheetId="4">#REF!</definedName>
    <definedName name="TEST5">#REF!</definedName>
    <definedName name="TEST6" localSheetId="4">#REF!</definedName>
    <definedName name="TEST6">#REF!</definedName>
    <definedName name="TESTHKEY" localSheetId="4">#REF!</definedName>
    <definedName name="TESTHKEY">#REF!</definedName>
    <definedName name="TESTKEYS" localSheetId="4">#REF!</definedName>
    <definedName name="TESTKEYS">#REF!</definedName>
    <definedName name="TESTVKEY" localSheetId="4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hbd9k6xd8y6rPdBcU+YQUsF+7CQNqNZIP5pyAMhZI0="/>
    </ext>
  </extLst>
</workbook>
</file>

<file path=xl/calcChain.xml><?xml version="1.0" encoding="utf-8"?>
<calcChain xmlns="http://schemas.openxmlformats.org/spreadsheetml/2006/main">
  <c r="E3" i="26" l="1"/>
  <c r="D3" i="26"/>
  <c r="E3" i="31"/>
  <c r="D3" i="31"/>
  <c r="A46" i="31"/>
  <c r="D52" i="31"/>
  <c r="C52" i="31"/>
  <c r="E52" i="31" s="1"/>
  <c r="D51" i="31"/>
  <c r="C51" i="31"/>
  <c r="E51" i="31" s="1"/>
  <c r="E50" i="31"/>
  <c r="D50" i="31"/>
  <c r="C50" i="31"/>
  <c r="D49" i="31"/>
  <c r="E49" i="31" s="1"/>
  <c r="E53" i="31" s="1"/>
  <c r="C49" i="31"/>
  <c r="D48" i="31"/>
  <c r="C48" i="31"/>
  <c r="D3" i="3"/>
  <c r="A21" i="3"/>
  <c r="A13" i="3"/>
  <c r="A5" i="3"/>
  <c r="E13" i="1"/>
  <c r="A37" i="26"/>
  <c r="C39" i="26" s="1"/>
  <c r="A29" i="26"/>
  <c r="C31" i="26" s="1"/>
  <c r="A21" i="26"/>
  <c r="C23" i="26" s="1"/>
  <c r="A13" i="26"/>
  <c r="C15" i="26" s="1"/>
  <c r="A5" i="26"/>
  <c r="C7" i="26" s="1"/>
  <c r="A37" i="31"/>
  <c r="C39" i="31" s="1"/>
  <c r="A29" i="31"/>
  <c r="C31" i="31" s="1"/>
  <c r="A21" i="31"/>
  <c r="C23" i="31" s="1"/>
  <c r="A13" i="31"/>
  <c r="C15" i="31" s="1"/>
  <c r="A5" i="31"/>
  <c r="C7" i="31" s="1"/>
  <c r="A37" i="3"/>
  <c r="A29" i="3"/>
  <c r="G13" i="1"/>
  <c r="D43" i="31"/>
  <c r="C43" i="31"/>
  <c r="E43" i="31" s="1"/>
  <c r="D42" i="31"/>
  <c r="C42" i="31"/>
  <c r="E42" i="31" s="1"/>
  <c r="E41" i="31"/>
  <c r="D41" i="31"/>
  <c r="C41" i="31"/>
  <c r="D40" i="31"/>
  <c r="E40" i="31" s="1"/>
  <c r="E44" i="31" s="1"/>
  <c r="C40" i="31"/>
  <c r="D39" i="31"/>
  <c r="D35" i="31"/>
  <c r="E35" i="31" s="1"/>
  <c r="C35" i="31"/>
  <c r="D34" i="31"/>
  <c r="C34" i="31"/>
  <c r="E34" i="31" s="1"/>
  <c r="D33" i="31"/>
  <c r="C33" i="31"/>
  <c r="E33" i="31" s="1"/>
  <c r="E32" i="31"/>
  <c r="D32" i="31"/>
  <c r="C32" i="31"/>
  <c r="D31" i="31"/>
  <c r="E27" i="31"/>
  <c r="D27" i="31"/>
  <c r="C27" i="31"/>
  <c r="D26" i="31"/>
  <c r="E26" i="31" s="1"/>
  <c r="C26" i="31"/>
  <c r="D25" i="31"/>
  <c r="C25" i="31"/>
  <c r="E25" i="31" s="1"/>
  <c r="D24" i="31"/>
  <c r="C24" i="31"/>
  <c r="E24" i="31" s="1"/>
  <c r="E28" i="31" s="1"/>
  <c r="D23" i="31"/>
  <c r="D19" i="31"/>
  <c r="C19" i="31"/>
  <c r="E19" i="31" s="1"/>
  <c r="E18" i="31"/>
  <c r="D18" i="31"/>
  <c r="C18" i="31"/>
  <c r="D17" i="31"/>
  <c r="E17" i="31" s="1"/>
  <c r="C17" i="31"/>
  <c r="D16" i="31"/>
  <c r="C16" i="31"/>
  <c r="E16" i="31" s="1"/>
  <c r="D15" i="31"/>
  <c r="D11" i="31"/>
  <c r="C11" i="31"/>
  <c r="E11" i="31" s="1"/>
  <c r="D10" i="31"/>
  <c r="C10" i="31"/>
  <c r="E10" i="31" s="1"/>
  <c r="E9" i="31"/>
  <c r="D9" i="31"/>
  <c r="C9" i="31"/>
  <c r="D8" i="31"/>
  <c r="E8" i="31" s="1"/>
  <c r="C8" i="31"/>
  <c r="E48" i="31" l="1"/>
  <c r="E20" i="31"/>
  <c r="E36" i="31"/>
  <c r="E31" i="31" s="1"/>
  <c r="E39" i="31"/>
  <c r="E23" i="31"/>
  <c r="E12" i="31"/>
  <c r="E7" i="31" s="1"/>
  <c r="E15" i="31"/>
  <c r="D43" i="26"/>
  <c r="C43" i="26"/>
  <c r="D42" i="26"/>
  <c r="C42" i="26"/>
  <c r="D41" i="26"/>
  <c r="C41" i="26"/>
  <c r="D40" i="26"/>
  <c r="C40" i="26"/>
  <c r="D39" i="26"/>
  <c r="D35" i="26"/>
  <c r="C35" i="26"/>
  <c r="D34" i="26"/>
  <c r="C34" i="26"/>
  <c r="D33" i="26"/>
  <c r="C33" i="26"/>
  <c r="D32" i="26"/>
  <c r="C32" i="26"/>
  <c r="D31" i="26"/>
  <c r="D27" i="26"/>
  <c r="C27" i="26"/>
  <c r="D26" i="26"/>
  <c r="C26" i="26"/>
  <c r="D25" i="26"/>
  <c r="C25" i="26"/>
  <c r="D24" i="26"/>
  <c r="C24" i="26"/>
  <c r="D23" i="26"/>
  <c r="D19" i="26"/>
  <c r="C19" i="26"/>
  <c r="D18" i="26"/>
  <c r="C18" i="26"/>
  <c r="D17" i="26"/>
  <c r="C17" i="26"/>
  <c r="D16" i="26"/>
  <c r="C16" i="26"/>
  <c r="D15" i="26"/>
  <c r="D11" i="26"/>
  <c r="C11" i="26"/>
  <c r="D10" i="26"/>
  <c r="C10" i="26"/>
  <c r="D9" i="26"/>
  <c r="C9" i="26"/>
  <c r="D8" i="26"/>
  <c r="C8" i="26"/>
  <c r="D5" i="31" l="1"/>
  <c r="E16" i="26"/>
  <c r="E18" i="26"/>
  <c r="E9" i="26"/>
  <c r="E11" i="26"/>
  <c r="E19" i="26"/>
  <c r="E32" i="26"/>
  <c r="E34" i="26"/>
  <c r="E41" i="26"/>
  <c r="E43" i="26"/>
  <c r="E42" i="26"/>
  <c r="E8" i="26"/>
  <c r="E25" i="26"/>
  <c r="E27" i="26"/>
  <c r="E10" i="26"/>
  <c r="E17" i="26"/>
  <c r="E24" i="26"/>
  <c r="E26" i="26"/>
  <c r="E33" i="26"/>
  <c r="E35" i="26"/>
  <c r="E40" i="26"/>
  <c r="C7" i="3"/>
  <c r="E20" i="26" l="1"/>
  <c r="E15" i="26" s="1"/>
  <c r="E28" i="26"/>
  <c r="E23" i="26" s="1"/>
  <c r="E36" i="26"/>
  <c r="E31" i="26" s="1"/>
  <c r="E44" i="26"/>
  <c r="E39" i="26" s="1"/>
  <c r="E12" i="26"/>
  <c r="E7" i="26" s="1"/>
  <c r="C15" i="3"/>
  <c r="C39" i="3"/>
  <c r="C31" i="3"/>
  <c r="C23" i="3"/>
  <c r="D5" i="26" l="1"/>
  <c r="C13" i="1"/>
  <c r="I12" i="6" l="1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B13" i="5"/>
  <c r="D43" i="3"/>
  <c r="C43" i="3"/>
  <c r="D42" i="3"/>
  <c r="C42" i="3"/>
  <c r="D41" i="3"/>
  <c r="C41" i="3"/>
  <c r="D40" i="3"/>
  <c r="C40" i="3"/>
  <c r="D39" i="3"/>
  <c r="D35" i="3"/>
  <c r="C35" i="3"/>
  <c r="D34" i="3"/>
  <c r="C34" i="3"/>
  <c r="D33" i="3"/>
  <c r="C33" i="3"/>
  <c r="E33" i="3" s="1"/>
  <c r="D32" i="3"/>
  <c r="C32" i="3"/>
  <c r="D31" i="3"/>
  <c r="D27" i="3"/>
  <c r="C27" i="3"/>
  <c r="D26" i="3"/>
  <c r="C26" i="3"/>
  <c r="D25" i="3"/>
  <c r="C25" i="3"/>
  <c r="D24" i="3"/>
  <c r="C24" i="3"/>
  <c r="D23" i="3"/>
  <c r="D19" i="3"/>
  <c r="C19" i="3"/>
  <c r="D18" i="3"/>
  <c r="C18" i="3"/>
  <c r="E18" i="3" s="1"/>
  <c r="D17" i="3"/>
  <c r="C17" i="3"/>
  <c r="D16" i="3"/>
  <c r="C16" i="3"/>
  <c r="E16" i="3" s="1"/>
  <c r="D15" i="3"/>
  <c r="D11" i="3"/>
  <c r="C11" i="3"/>
  <c r="D10" i="3"/>
  <c r="C10" i="3"/>
  <c r="D9" i="3"/>
  <c r="C9" i="3"/>
  <c r="D8" i="3"/>
  <c r="C8" i="3"/>
  <c r="E17" i="3" l="1"/>
  <c r="E19" i="3"/>
  <c r="E32" i="3"/>
  <c r="E34" i="3"/>
  <c r="E9" i="3"/>
  <c r="E41" i="3"/>
  <c r="E43" i="3"/>
  <c r="E8" i="3"/>
  <c r="E10" i="3"/>
  <c r="E25" i="3"/>
  <c r="E27" i="3"/>
  <c r="E40" i="3"/>
  <c r="E42" i="3"/>
  <c r="E11" i="3"/>
  <c r="E24" i="3"/>
  <c r="E26" i="3"/>
  <c r="E35" i="3"/>
  <c r="E20" i="3"/>
  <c r="E15" i="3" s="1"/>
  <c r="E36" i="3" l="1"/>
  <c r="E31" i="3" s="1"/>
  <c r="E28" i="3"/>
  <c r="E23" i="3" s="1"/>
  <c r="E44" i="3"/>
  <c r="E39" i="3" s="1"/>
  <c r="E12" i="3"/>
  <c r="E7" i="3" s="1"/>
  <c r="E3" i="3" s="1"/>
  <c r="D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ID#AAABb1-9jHw
Jose Carlos Vidal Bastos    (2025-01-17 18:20:38)
(Pontuação Nível 1 + Pontuação Nível 2) / 2</t>
        </r>
      </text>
    </comment>
    <comment ref="B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ID#AAABb1-9jHs
Jose Carlos Vidal Bastos    (2025-01-17 18:20:38)
(Pontuação Nível 2 + Pontuação Nível 3) / 2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ID#AAABb1-9jHo
Jose Carlos Vidal Bastos    (2025-01-17 18:20:38)
(Pontuação Nível 3 + Pontuação Nível 4) / 2</t>
        </r>
      </text>
    </comment>
    <comment ref="B1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ID#AAABb1-9jHk
Jose Carlos Vidal Bastos    (2025-01-17 18:20:38)
Acima da pontuação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LpTMVJ1/FH9E7p7/WmpPOLSVQ=="/>
    </ext>
  </extLst>
</comments>
</file>

<file path=xl/sharedStrings.xml><?xml version="1.0" encoding="utf-8"?>
<sst xmlns="http://schemas.openxmlformats.org/spreadsheetml/2006/main" count="198" uniqueCount="119">
  <si>
    <t>Operacional</t>
  </si>
  <si>
    <t>Encarregado</t>
  </si>
  <si>
    <t>Gerente</t>
  </si>
  <si>
    <t>Competências</t>
  </si>
  <si>
    <t>Peso</t>
  </si>
  <si>
    <t>Comprometimento</t>
  </si>
  <si>
    <t>Capacidade de análise</t>
  </si>
  <si>
    <t>Gestão de Pessoas</t>
  </si>
  <si>
    <t>Organização e zelo com equipamentos</t>
  </si>
  <si>
    <t>Gestão de recursos</t>
  </si>
  <si>
    <t>Orientação para segurança</t>
  </si>
  <si>
    <t>Comunicação</t>
  </si>
  <si>
    <t>Orientação para resultados</t>
  </si>
  <si>
    <t xml:space="preserve">Proatividade </t>
  </si>
  <si>
    <t>Tomada de decisão</t>
  </si>
  <si>
    <t>Trabalho em equipe</t>
  </si>
  <si>
    <t>Planejamento</t>
  </si>
  <si>
    <t>Visão estratégica</t>
  </si>
  <si>
    <t>Soma</t>
  </si>
  <si>
    <t>Grupo funcional: Operacional</t>
  </si>
  <si>
    <t>Peso total</t>
  </si>
  <si>
    <t>Pontuação</t>
  </si>
  <si>
    <t>Resultado</t>
  </si>
  <si>
    <t>Avaliação</t>
  </si>
  <si>
    <t>Capacidade de cumprir as tarefas conforme normas, procedimentos e prazos estabelecidos, demonstrando constância, pontualidade e disponibilidade</t>
  </si>
  <si>
    <t>Comportamentos observáveis</t>
  </si>
  <si>
    <t>Apresenta dificuldades em cumprir prazos, normas e procedimentos estabelecidos e a pontualidade e a disponibilidade também são insatisfatórias, o que impacta negativamente na fluidez do trabalho</t>
  </si>
  <si>
    <t>Cumpre prazos, normas e procedimentos em parte das situações, mas a constância nas entregas é instável, e a pontualidade e a disponibilidade oscilam conforme o contexto, exigindo acompanhamento mais próximo</t>
  </si>
  <si>
    <t>Cumpre regularmente os prazos, normas e procedimentos definidos. Apresenta constância nas entregas, com boa organização e responsabilidade. Demonstra pontualidade e está sempre disponível para atender às demandas</t>
  </si>
  <si>
    <t>Atua com elevada constância, demonstrando organização, responsabilidade e proatividade. Cumpre os prazos, é pontual, comprometido e sempre disponível, servindo como referência positiva para a equipe</t>
  </si>
  <si>
    <t>Realiza suas atribuições de forma ordenada, facilitando e contribuindo para a continuidade e sequência do trabalho, apresentando cuidado na utilização de bens, equipamentos e materiais da empresa</t>
  </si>
  <si>
    <t>O trabalho não é realizado de forma ordenada, reduzindo a produtividade e dificultando a sequência do trabalho por outra pessoa quando necessário, e não zela pela conservação dos equipamentos e materiais sob sua responsabilidade</t>
  </si>
  <si>
    <t>Esforça-se para organizar adequadamente o trabalho e cuidar dos materiais e equipamentos sob sua responsabilidade, mas ainda necessita de orientação e apoio</t>
  </si>
  <si>
    <t>Mantem organizado o seu ambiente de trabalho, planejando suas tarefas sem necessidade de apoio e mantém organizado o ambiente de trabalho e os materiais e equipamentos sob sua responsabilidade</t>
  </si>
  <si>
    <t>Além da elevada organização, antecipa o que precisa ser feito, demonstra flexibilidade em resposta a prioridades e novas solicitações e antecipa o cumprimento de prazos. Materiais e equipamentos sob sua responsabilidade estão sempre com a manutenção em dia, adequadamente conservados e bem organizados.</t>
  </si>
  <si>
    <t>Capacidade de priorizar a integridade física no ambiente de trabalho, seguindo normas, identificando riscos e adotando comportamentos preventivos para evitar acidentes, envolvendo uma postura ativa na promoção de um ambiente seguro para si e para os demais.</t>
  </si>
  <si>
    <t>Segue as normas de segurança apenas quando exigido, age de forma reativa diante de riscos e não se preocupa em identificar ou relatar potenciais perigos no ambiente de trabalho</t>
  </si>
  <si>
    <t>Adota práticas seguras no dia a dia, respeita normas e sinaliza riscos quando identificados, mas não age proativamente para promover a segurança de forma ampla</t>
  </si>
  <si>
    <t>Além de cumprir as normas, antecipa e reporta riscos, orienta colegas sobre práticas seguras e busca melhorias contínuas para reduzir acidentes e incidentes</t>
  </si>
  <si>
    <t>Atua como referência em segurança, inspira e orienta os outros, propõe e participa ativamente da implementação de melhorias nos procedimentos e ambientes, e age antecipadamente para eliminar riscos, contribuindo preventivamente para um ambiente de trabalho mais seguro.</t>
  </si>
  <si>
    <t xml:space="preserve">Capacidade de agir de forma antecipada e responsável para evitar problemas, melhorar processos, atuando  com iniciativa, atenção aos detalhes. </t>
  </si>
  <si>
    <t>Atua apenas quando solicitado, aguarda instruções para iniciar qualquer atividade e não demonstra preocupação em antecipar problemas ou propor melhorias</t>
  </si>
  <si>
    <t>Cumpre suas funções com qualidade e dentro dos prazos, sinaliza problemas à liderança, mas não busca soluções por conta própria, e participa de iniciativas de melhoria quando solicitado</t>
  </si>
  <si>
    <t>Identifica problemas e propõe soluções antes que impactem o trabalho, busca melhorias para sua rotina e compartilha boas práticas, além de apoiar colegas quando percebe dificuldades</t>
  </si>
  <si>
    <t xml:space="preserve">Atua como referência para a equipe, inspira colegas a serem mais proativos, antecipa falhas, propõe e participa ativamente da implementação de melhorias </t>
  </si>
  <si>
    <t xml:space="preserve">Capacidade de agir para o alcance dos objetivos coletivos, demonstrando interesse em compreender as necessidades do outro e contribuir para a criação de soluções conjuntas </t>
  </si>
  <si>
    <t>Demonstra esforço limitado para agir em equipe, apresentando colaboração reativa e geralmente aguardando orientações para contribuir com os objetivos coletivos</t>
  </si>
  <si>
    <t>Busca entender as necessidades dos outros e contribui para soluções coletivas, mas ainda depende de alguma orientação para identificar as melhores formas de colaborar</t>
  </si>
  <si>
    <t>Demonstra empenho para agir em prol dos objetivos coletivos, compreendendo as necessidades dos outros e contribuindo frequentemente com demais colaboradores e equipes</t>
  </si>
  <si>
    <t>Compreende profundamente as necessidades dos outros e cria soluções colaborativas que beneficiam todo a equipe ou empresa</t>
  </si>
  <si>
    <t>Grupo funcional: Encarregado</t>
  </si>
  <si>
    <t>Capacidade de avaliar informações, situações ou resultados de maneira interpretativa e baseada em dados e argumentos sólidos, extraindo pontos relevantes, convergindo e construindo diagnósticos de forma resumida para resolução de problemas</t>
  </si>
  <si>
    <t>Avalia informações e situações de forma superficial, apresentando dificuldades em entender a causa principal dos problemas e sem considerar dados e argumentos sólidos, frequentemente precisando de orientação para identificar pontos relevantes e extrair diagnósticos</t>
  </si>
  <si>
    <t xml:space="preserve">Realiza avaliações mais fundamentadas, considerando dados e informações, mas ainda com alguma dificuldade em convergir e sintetizar os pontos mais relevantes de maneira clara e concisa e propondo ações genéricas ou não totalmente alinhadas com a situação e que necessitam de ajustes </t>
  </si>
  <si>
    <t>Analisa informações e resultados de maneira interpretativa e organizada, Identificando claramente a raiz do problema, utilizando dados e argumentos consistentes para elaborar diagnósticos claros e objetivos, extraindo os pontos mais relevantes de forma eficiente para implementação de soluções práticas</t>
  </si>
  <si>
    <t>Realiza avaliações complexas e altamente interpretativas, extraindo insights e construindo diagnósticos precisos, com base em dados robustos e argumentos bem fundamentados, apresentando as informações e soluções de forma resumida mas com clareza</t>
  </si>
  <si>
    <t>Capacidade de interagir com as pessoas, apresentando facilidade para ouvir, processar e compreender a mensagem, transmitindo informações e argumentando com coerência e clareza conforme o público alvo</t>
  </si>
  <si>
    <t>Apresenta dificuldade para estruturar os argumentos e direcionar conversas, deixando a comunicação pouco produtiva, além disso não se certifica do entendimento das partes envolvidas, aumento o risco de falhas na comunicação</t>
  </si>
  <si>
    <t>Na maior parte do tempo comunica-se de modo estruturado, mas pode se perder eventualmente na conversa e fugir do foco, e poucas vezes certifica-se do correto entendimento das partes envolvidas</t>
  </si>
  <si>
    <t>Ouve com atenção e comunica-se de modo estruturado, transmitindo informações com clareza e coerência,  certificando-se do correto entendimento das partes envolvidas ao final do processo de comunicação</t>
  </si>
  <si>
    <t>Mantém escuta ativa, interagindo ao longo do diálogo garantindo o adequado entendimento das partes, expressando-se com simplicidade e objetividade, assegurando o correto entendimento das partes envolvidas ao final do processo de comunicação</t>
  </si>
  <si>
    <t>Capacidade de delegar, influenciar, inspirar e orientar pessoas e equipes para atingir objetivos organizacionais, estabelecendo relacionamentos de confiança, promovendo o crescimento individual e coletivo</t>
  </si>
  <si>
    <t>Demonstra dificuldades em delegar, influenciar e orientar os outros, estabelecendo relacionamentos superficiais ou com pouca confiança mútua, e requer apoio contínuo na gestão de conflitos e estratégias de desenvolvimento individual e coletivo</t>
  </si>
  <si>
    <t>Consegue delegar, influenciar e orientar as pessoas de maneira moderada, estabelecendo alguns relacionamentos de confiança, mas ainda enfrenta desafios para gerir conflitos e impulsionar o desenvolvimento individual e coletivo de forma consistente</t>
  </si>
  <si>
    <t>Delega, influencia e inspira os outros de maneira consistente, estabelece relacionamentos de confiança sólidos e orienta pessoas e equipes para atingir objetivos organizacionais e promover o crescimento contínuo</t>
  </si>
  <si>
    <t>Exerce uma influência significativa e inspiradora, gerindo conflitos e guiando pessoas e equipes para alcançar resultados excepcionais, estabelecendo relacionamentos profundos de confiança e promovendo um crescimento contínuo e sustentável para a organização e seus membros</t>
  </si>
  <si>
    <t xml:space="preserve">Capacidade de definir, organizar e executar ações no curto e médio prazos, garantindo a alocação adequada de recursos, cumprimento de prazos e conclusão das entregas </t>
  </si>
  <si>
    <t>Apresenta dificuldades para definir, organizar e executar ações no curto e médio prazos, resultando em uso inadequado de recursos e frequentes atrasos no cumprimento de prazos e entregas</t>
  </si>
  <si>
    <t>Consegue planejar ações, mas enfrenta desafios na organização e execução, impactando a alocação adequada de recursos e comprometendo, ocasionalmente, o cumprimento de prazos</t>
  </si>
  <si>
    <t>Planeja, organiza e executa ações de forma estruturada, assegurando o uso adequado de recursos, o cumprimento dos prazos e entregas estabelecidas</t>
  </si>
  <si>
    <t xml:space="preserve">Demonstra excelência na definição, organização e execução de ações no curto e médio prazo, alocando adequadamente os recursos e garantindo o cumprimento dos prazos de forma estratégica </t>
  </si>
  <si>
    <t>Capacidade de avaliar informações, analisar impactos e escolher a melhor solução para desafios do dia a dia dentro do seu setor, considerando regras e objetivos organizacionais para garantir escolhas alinhadas às melhores práticas e resultados esperados</t>
  </si>
  <si>
    <t>Evita tomar decisões por conta própria, aguardando orientações mesmo para questões simples, e apresenta dificuldade em avaliar impactos antes de agir</t>
  </si>
  <si>
    <t>Toma decisões em situações rotineiras e previsíveis, seguindo procedimentos estabelecidos, mas ainda depende de orientação em situações mais complexas ou inesperadas</t>
  </si>
  <si>
    <t>Avalia riscos e impactos antes de decidir, busca soluções alinhadas aos objetivos do setor e da empresa, consulta informações relevantes e sabe quando envolver outros para garantir uma escolha mais assertiva</t>
  </si>
  <si>
    <t>Toma decisões com autonomia dentro de sua área de atuação, antecipa problemas e oportunidades, considera impactos a longo prazo e influencia melhorias nos processos decisórios do setor</t>
  </si>
  <si>
    <t>Grupo funcional: Gerente</t>
  </si>
  <si>
    <t>Capacidade de alocar e otimizar o uso dos recursos disponíveis (humanos, ativos, tecnológicos, materiais, financeiros) garantindo que sejam utilizados de forma eficiente, sustentável  e com responsabilidade social e ambiental para maximizar os resultados do negócio</t>
  </si>
  <si>
    <t>Não planeja e utiliza os recursos de forma desorganizada, resultando em desperdícios, baixa produtividade, alocação inadequada de ativos e instabilidade financeira</t>
  </si>
  <si>
    <t>Planeja a aloca os recursos, porém sem visão estratégica, gerando desperdício ou uso inadequado dos recursos, podendo alcançar resultados, mas sem eficiência</t>
  </si>
  <si>
    <t>Gerencia os recursos de forma estruturada e eficiente, garantindo adequada alocação dos recursos, identificando oportunidades de melhoria e ajustando estratégias conforme necessário</t>
  </si>
  <si>
    <t>Atua com excelência na gestão estratégica dos recursos, maximizando a eficiência operacional, reduzindo desperdícios e garantindo investimentos sustentáveis, tornando-se referência na organização</t>
  </si>
  <si>
    <t>Capacidade de monitorar e avaliar o desempenho das ações e metas, direcionando esforços para alcançar os objetivos organizacionais</t>
  </si>
  <si>
    <t>Realiza ações direcionadas ao cumprimento dos objetivos, mas não identifica as prioridades ou os impactos nos resultados, enfrentando dificuldade para o cumprimento do planejamento estratégico</t>
  </si>
  <si>
    <t>Direciona esforços para o cumprimento do planejamento estratégico, demonstrando compreensão das prioridades, mas ainda apresenta dificuldades com entregas mais consistentes e alinhadas aos objetivos organizacionais</t>
  </si>
  <si>
    <t>Compreende e define ações para o cumprimento do planejamento estratégico, tomando decisões assertivas para alcançar os objetivos organizacionais</t>
  </si>
  <si>
    <t>Atua de forma exemplar no alcance de resultados e superação de metas, concentrando esforços em ações de alto impacto com eficiência para o cumprimento do planejamento estratégico e alcance dos objetivos organizacionais</t>
  </si>
  <si>
    <t>Capacidade de avaliar informações, analisar impactos e escolher a melhor solução para desafios da empresa, considerando regras e objetivos organizacionais para garantir escolhas alinhadas às melhores práticas e resultados esperados para o negócio</t>
  </si>
  <si>
    <t>Avalia riscos e impactos antes de decidir, busca soluções alinhadas aos objetivos da empresa, consulta informações relevantes e sabe quando envolver outros para garantir uma escolha mais assertiva</t>
  </si>
  <si>
    <t>Toma decisões com autonomia, antecipa problemas e oportunidades, considera impactos a longo prazo e influencia melhorias nos processos decisórios do negócio</t>
  </si>
  <si>
    <t>Capacidade de compreender o cenário global em que a empresa está inserida, identificar oportunidades e ameaças, antecipar tendências e direcionar ações de longo prazo para alcançar os objetivos organizacionais e contribuir para o melhor direcionamento do negócio</t>
  </si>
  <si>
    <t xml:space="preserve">Possui foco apenas no presente e nas tarefas imediatas, sem considerar tendências ou o impacto de suas ações no médio e longo prazo, demonstrando dificuldade em compreender como mudanças externas podem afetar a organização </t>
  </si>
  <si>
    <t>Identifica ocasionalmente tendências e desafios que podem impactar a organização, necessitando de orientação para integrar percepções à estratégica do negócio, pois o foco no curto prazo ainda é predominante</t>
  </si>
  <si>
    <t>Compreende e analisa tendências, desafios e oportunidades de forma consistente e proativa, conectando percepções a objetivos claros e ações alinhadas ao propósito e às metas do negócio, apresentando capacidade de desenvolver planejamentos para o médio e longo prazo</t>
  </si>
  <si>
    <t>Antecipa cenários desafiadores e desenvolve estratégias de alto impacto, apoiando a empresa na construção de um futuro consistente e sustentável, sendo capaz de liderar ações e projetos inovadores com vistas à adaptação e crescimento do negócio</t>
  </si>
  <si>
    <t>Não atende</t>
  </si>
  <si>
    <t>Atende parcialmente</t>
  </si>
  <si>
    <t>Atende</t>
  </si>
  <si>
    <t>Supera</t>
  </si>
  <si>
    <t>Pontuação final da avaliação</t>
  </si>
  <si>
    <t>Referência</t>
  </si>
  <si>
    <t>Igual ou menor que</t>
  </si>
  <si>
    <t>Supera muito</t>
  </si>
  <si>
    <t>Abaixo do esperado</t>
  </si>
  <si>
    <t>Dentro do esperado</t>
  </si>
  <si>
    <t>Acima do esperado</t>
  </si>
  <si>
    <t>Maior que</t>
  </si>
  <si>
    <t>Resultado consolidado da Avaliação de Desempenho</t>
  </si>
  <si>
    <t>Pesos</t>
  </si>
  <si>
    <t>Nome do Colaborador</t>
  </si>
  <si>
    <t>Eixo</t>
  </si>
  <si>
    <t>Área</t>
  </si>
  <si>
    <t>Cargo</t>
  </si>
  <si>
    <t>Nome do avaliador</t>
  </si>
  <si>
    <t>Nota Gestor</t>
  </si>
  <si>
    <t>Nota Auto avaliação</t>
  </si>
  <si>
    <t>Nota final</t>
  </si>
  <si>
    <t>Resultado final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</si>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</sst>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color theme="0"/>
      <name val="Arial"/>
      <family val="2"/>
    </font>
    <font>
      <sz val="10"/>
      <color theme="1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Calibri"/>
      <family val="2"/>
    </font>
    <font>
      <sz val="20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2E75B5"/>
      </left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 style="dotted">
        <color rgb="FF2E75B5"/>
      </left>
      <right/>
      <top style="dotted">
        <color rgb="FF2E75B5"/>
      </top>
      <bottom style="dotted">
        <color rgb="FF2E75B5"/>
      </bottom>
      <diagonal/>
    </border>
    <border>
      <left/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/>
      <right style="medium">
        <color rgb="FF2E75B5"/>
      </right>
      <top/>
      <bottom/>
      <diagonal/>
    </border>
    <border>
      <left style="medium">
        <color rgb="FF2E75B5"/>
      </left>
      <right/>
      <top style="medium">
        <color rgb="FF2E75B5"/>
      </top>
      <bottom/>
      <diagonal/>
    </border>
    <border>
      <left/>
      <right style="medium">
        <color rgb="FF2E75B5"/>
      </right>
      <top style="medium">
        <color rgb="FF2E75B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8" tint="-0.24994659260841701"/>
      </left>
      <right style="medium">
        <color theme="8" tint="-0.24994659260841701"/>
      </right>
      <top style="dotted">
        <color theme="8" tint="-0.24994659260841701"/>
      </top>
      <bottom style="dotted">
        <color theme="8" tint="-0.24994659260841701"/>
      </bottom>
      <diagonal/>
    </border>
    <border>
      <left style="medium">
        <color rgb="FF2E75B5"/>
      </left>
      <right/>
      <top/>
      <bottom/>
      <diagonal/>
    </border>
    <border>
      <left style="medium">
        <color rgb="FF2E75B5"/>
      </left>
      <right/>
      <top style="thin">
        <color theme="0"/>
      </top>
      <bottom/>
      <diagonal/>
    </border>
    <border>
      <left/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8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rgb="FF2E75B5"/>
      </left>
      <right style="medium">
        <color theme="8" tint="-0.24994659260841701"/>
      </right>
      <top style="medium">
        <color theme="8" tint="-0.24994659260841701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rgb="FF2E75B5"/>
      </left>
      <right style="medium">
        <color rgb="FF2E75B5"/>
      </right>
      <top style="medium">
        <color rgb="FF2E75B5"/>
      </top>
      <bottom style="medium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rgb="FF2E75B5"/>
      </right>
      <top style="dotted">
        <color rgb="FF2E75B5"/>
      </top>
      <bottom style="medium">
        <color rgb="FF2E75B5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vertical="center"/>
    </xf>
    <xf numFmtId="0" fontId="2" fillId="2" borderId="29" xfId="0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vertical="center"/>
    </xf>
    <xf numFmtId="0" fontId="2" fillId="2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vertical="center"/>
    </xf>
    <xf numFmtId="0" fontId="2" fillId="2" borderId="34" xfId="0" applyFont="1" applyFill="1" applyBorder="1" applyAlignment="1">
      <alignment horizontal="right" vertical="center" wrapText="1"/>
    </xf>
    <xf numFmtId="0" fontId="2" fillId="2" borderId="35" xfId="0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vertical="center"/>
    </xf>
    <xf numFmtId="9" fontId="15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4" fontId="16" fillId="2" borderId="3" xfId="0" applyNumberFormat="1" applyFont="1" applyFill="1" applyBorder="1" applyAlignment="1">
      <alignment horizontal="center" vertical="center"/>
    </xf>
    <xf numFmtId="4" fontId="16" fillId="9" borderId="3" xfId="0" applyNumberFormat="1" applyFont="1" applyFill="1" applyBorder="1" applyAlignment="1">
      <alignment horizontal="center" vertical="center"/>
    </xf>
    <xf numFmtId="4" fontId="16" fillId="9" borderId="3" xfId="0" applyNumberFormat="1" applyFont="1" applyFill="1" applyBorder="1" applyAlignment="1">
      <alignment vertical="center"/>
    </xf>
    <xf numFmtId="0" fontId="4" fillId="13" borderId="37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47" xfId="0" applyFont="1" applyBorder="1" applyAlignment="1">
      <alignment horizontal="center" vertical="center"/>
    </xf>
    <xf numFmtId="0" fontId="19" fillId="0" borderId="47" xfId="0" applyFont="1" applyBorder="1" applyAlignment="1">
      <alignment vertical="center" wrapText="1"/>
    </xf>
    <xf numFmtId="164" fontId="19" fillId="0" borderId="47" xfId="1" applyNumberFormat="1" applyFont="1" applyFill="1" applyBorder="1" applyAlignment="1">
      <alignment vertical="center" wrapText="1"/>
    </xf>
    <xf numFmtId="0" fontId="19" fillId="0" borderId="47" xfId="1" applyNumberFormat="1" applyFont="1" applyFill="1" applyBorder="1" applyAlignment="1">
      <alignment horizontal="center" vertical="center" wrapText="1"/>
    </xf>
    <xf numFmtId="0" fontId="19" fillId="16" borderId="47" xfId="0" applyFont="1" applyFill="1" applyBorder="1" applyAlignment="1">
      <alignment vertical="center"/>
    </xf>
    <xf numFmtId="0" fontId="20" fillId="0" borderId="47" xfId="0" applyFont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7" fillId="10" borderId="48" xfId="0" applyFont="1" applyFill="1" applyBorder="1" applyAlignment="1">
      <alignment horizontal="center" vertical="center"/>
    </xf>
    <xf numFmtId="0" fontId="0" fillId="15" borderId="0" xfId="0" applyFill="1"/>
    <xf numFmtId="0" fontId="19" fillId="15" borderId="47" xfId="0" applyFont="1" applyFill="1" applyBorder="1" applyAlignment="1">
      <alignment vertical="center" wrapText="1"/>
    </xf>
    <xf numFmtId="9" fontId="19" fillId="0" borderId="47" xfId="1" applyFont="1" applyBorder="1" applyAlignment="1">
      <alignment horizontal="center" vertical="center" wrapText="1"/>
    </xf>
    <xf numFmtId="9" fontId="20" fillId="0" borderId="47" xfId="1" applyFont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28" xfId="0" applyFont="1" applyFill="1" applyBorder="1"/>
    <xf numFmtId="0" fontId="2" fillId="2" borderId="28" xfId="0" applyFont="1" applyFill="1" applyBorder="1" applyAlignment="1">
      <alignment vertical="center" wrapText="1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9" fontId="2" fillId="2" borderId="28" xfId="1" applyFont="1" applyFill="1" applyBorder="1" applyAlignment="1">
      <alignment vertical="center" wrapText="1"/>
    </xf>
    <xf numFmtId="0" fontId="0" fillId="11" borderId="52" xfId="0" applyFill="1" applyBorder="1" applyAlignment="1">
      <alignment vertical="center" wrapText="1"/>
    </xf>
    <xf numFmtId="0" fontId="18" fillId="12" borderId="53" xfId="0" applyFont="1" applyFill="1" applyBorder="1" applyAlignment="1">
      <alignment horizontal="center" vertical="center" wrapText="1"/>
    </xf>
    <xf numFmtId="0" fontId="21" fillId="17" borderId="43" xfId="0" applyFont="1" applyFill="1" applyBorder="1" applyAlignment="1">
      <alignment vertical="center"/>
    </xf>
    <xf numFmtId="0" fontId="21" fillId="18" borderId="46" xfId="0" applyFont="1" applyFill="1" applyBorder="1" applyAlignment="1">
      <alignment vertical="center"/>
    </xf>
    <xf numFmtId="0" fontId="22" fillId="18" borderId="47" xfId="0" applyFont="1" applyFill="1" applyBorder="1" applyAlignment="1">
      <alignment horizontal="center" vertical="center"/>
    </xf>
    <xf numFmtId="164" fontId="19" fillId="0" borderId="47" xfId="1" applyNumberFormat="1" applyFont="1" applyBorder="1" applyAlignment="1">
      <alignment horizontal="center" vertical="center" wrapText="1"/>
    </xf>
    <xf numFmtId="164" fontId="2" fillId="2" borderId="28" xfId="1" applyNumberFormat="1" applyFont="1" applyFill="1" applyBorder="1" applyAlignment="1">
      <alignment vertical="center" wrapText="1"/>
    </xf>
    <xf numFmtId="0" fontId="2" fillId="20" borderId="54" xfId="0" applyFont="1" applyFill="1" applyBorder="1" applyAlignment="1">
      <alignment vertical="center" wrapText="1"/>
    </xf>
    <xf numFmtId="0" fontId="2" fillId="21" borderId="55" xfId="0" applyFont="1" applyFill="1" applyBorder="1" applyAlignment="1">
      <alignment vertical="center" wrapText="1"/>
    </xf>
    <xf numFmtId="0" fontId="2" fillId="21" borderId="56" xfId="0" applyFont="1" applyFill="1" applyBorder="1" applyAlignment="1">
      <alignment vertical="center" wrapText="1"/>
    </xf>
    <xf numFmtId="0" fontId="1" fillId="11" borderId="52" xfId="0" applyFont="1" applyFill="1" applyBorder="1" applyAlignment="1">
      <alignment vertical="center" wrapText="1"/>
    </xf>
    <xf numFmtId="0" fontId="5" fillId="14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0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22" fillId="17" borderId="44" xfId="0" applyFont="1" applyFill="1" applyBorder="1" applyAlignment="1">
      <alignment horizontal="center" vertical="center"/>
    </xf>
    <xf numFmtId="0" fontId="22" fillId="17" borderId="45" xfId="0" applyFont="1" applyFill="1" applyBorder="1" applyAlignment="1">
      <alignment horizontal="center" vertical="center"/>
    </xf>
    <xf numFmtId="0" fontId="22" fillId="17" borderId="4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165" fontId="8" fillId="8" borderId="27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" fillId="15" borderId="9" xfId="0" applyFont="1" applyFill="1" applyBorder="1" applyAlignment="1"/>
    <xf numFmtId="0" fontId="4" fillId="0" borderId="6" xfId="0" applyFont="1" applyBorder="1" applyAlignment="1"/>
    <xf numFmtId="0" fontId="4" fillId="0" borderId="42" xfId="0" applyFont="1" applyBorder="1" applyAlignment="1"/>
    <xf numFmtId="2" fontId="2" fillId="2" borderId="28" xfId="0" applyNumberFormat="1" applyFont="1" applyFill="1" applyBorder="1" applyAlignment="1">
      <alignment vertical="center" wrapText="1"/>
    </xf>
    <xf numFmtId="0" fontId="2" fillId="2" borderId="28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vertical="center"/>
    </xf>
    <xf numFmtId="0" fontId="2" fillId="2" borderId="28" xfId="0" applyFont="1" applyFill="1" applyBorder="1" applyAlignment="1">
      <alignment horizontal="right" vertical="center"/>
    </xf>
    <xf numFmtId="0" fontId="4" fillId="0" borderId="17" xfId="0" applyFont="1" applyBorder="1" applyAlignment="1"/>
    <xf numFmtId="165" fontId="2" fillId="2" borderId="28" xfId="0" applyNumberFormat="1" applyFont="1" applyFill="1" applyBorder="1" applyAlignment="1">
      <alignment horizontal="center" vertical="center"/>
    </xf>
    <xf numFmtId="0" fontId="4" fillId="0" borderId="27" xfId="0" applyFont="1" applyBorder="1" applyAlignment="1"/>
    <xf numFmtId="0" fontId="4" fillId="0" borderId="26" xfId="0" applyFont="1" applyBorder="1" applyAlignment="1"/>
    <xf numFmtId="0" fontId="3" fillId="2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/>
    <xf numFmtId="0" fontId="10" fillId="2" borderId="28" xfId="0" applyFont="1" applyFill="1" applyBorder="1" applyAlignment="1">
      <alignment vertical="center" wrapText="1"/>
    </xf>
    <xf numFmtId="165" fontId="10" fillId="2" borderId="28" xfId="0" applyNumberFormat="1" applyFont="1" applyFill="1" applyBorder="1" applyAlignment="1">
      <alignment vertical="center" wrapText="1"/>
    </xf>
    <xf numFmtId="165" fontId="11" fillId="2" borderId="28" xfId="0" applyNumberFormat="1" applyFont="1" applyFill="1" applyBorder="1" applyAlignment="1">
      <alignment vertical="center"/>
    </xf>
    <xf numFmtId="165" fontId="11" fillId="2" borderId="28" xfId="0" applyNumberFormat="1" applyFont="1" applyFill="1" applyBorder="1" applyAlignment="1">
      <alignment vertical="center" wrapText="1"/>
    </xf>
    <xf numFmtId="0" fontId="12" fillId="2" borderId="28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165" fontId="11" fillId="2" borderId="28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vertical="center"/>
    </xf>
    <xf numFmtId="0" fontId="4" fillId="0" borderId="2" xfId="0" applyFont="1" applyBorder="1" applyAlignment="1"/>
    <xf numFmtId="0" fontId="15" fillId="2" borderId="28" xfId="0" applyFont="1" applyFill="1" applyBorder="1" applyAlignment="1">
      <alignment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238125</xdr:colOff>
      <xdr:row>9</xdr:row>
      <xdr:rowOff>152400</xdr:rowOff>
    </xdr:from>
    <xdr:ext cx="9334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84038" y="3508538"/>
          <a:ext cx="923925" cy="5429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104775</xdr:colOff>
      <xdr:row>8</xdr:row>
      <xdr:rowOff>247650</xdr:rowOff>
    </xdr:from>
    <xdr:ext cx="40957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45975" y="3684750"/>
          <a:ext cx="4000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1,0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8</xdr:row>
      <xdr:rowOff>247650</xdr:rowOff>
    </xdr:from>
    <xdr:ext cx="4191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1,6</a:t>
          </a:r>
          <a:endParaRPr sz="1400"/>
        </a:p>
      </xdr:txBody>
    </xdr:sp>
    <xdr:clientData fLocksWithSheet="0"/>
  </xdr:oneCellAnchor>
  <xdr:oneCellAnchor>
    <xdr:from>
      <xdr:col>21</xdr:col>
      <xdr:colOff>95250</xdr:colOff>
      <xdr:row>8</xdr:row>
      <xdr:rowOff>247650</xdr:rowOff>
    </xdr:from>
    <xdr:ext cx="41910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2,6</a:t>
          </a:r>
          <a:endParaRPr sz="1400"/>
        </a:p>
      </xdr:txBody>
    </xdr:sp>
    <xdr:clientData fLocksWithSheet="0"/>
  </xdr:oneCellAnchor>
  <xdr:oneCellAnchor>
    <xdr:from>
      <xdr:col>31</xdr:col>
      <xdr:colOff>95250</xdr:colOff>
      <xdr:row>8</xdr:row>
      <xdr:rowOff>247650</xdr:rowOff>
    </xdr:from>
    <xdr:ext cx="419100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3,6</a:t>
          </a:r>
          <a:endParaRPr sz="1400"/>
        </a:p>
      </xdr:txBody>
    </xdr:sp>
    <xdr:clientData fLocksWithSheet="0"/>
  </xdr:oneCellAnchor>
  <xdr:oneCellAnchor>
    <xdr:from>
      <xdr:col>40</xdr:col>
      <xdr:colOff>85725</xdr:colOff>
      <xdr:row>8</xdr:row>
      <xdr:rowOff>238125</xdr:rowOff>
    </xdr:from>
    <xdr:ext cx="419100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4,5</a:t>
          </a:r>
          <a:endParaRPr sz="1400"/>
        </a:p>
      </xdr:txBody>
    </xdr:sp>
    <xdr:clientData fLocksWithSheet="0"/>
  </xdr:oneCellAnchor>
  <xdr:oneCellAnchor>
    <xdr:from>
      <xdr:col>45</xdr:col>
      <xdr:colOff>85725</xdr:colOff>
      <xdr:row>8</xdr:row>
      <xdr:rowOff>238125</xdr:rowOff>
    </xdr:from>
    <xdr:ext cx="419100" cy="190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5,0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d039bdea52a34a15/Total%20Consult/3%20BMG/GD/Brasfrigo/Avalia&#231;&#227;o%20Brasfrigo.xlsx" TargetMode="External"/><Relationship Id="rId2" Type="http://schemas.openxmlformats.org/officeDocument/2006/relationships/externalLinkPath" Target="https://d.docs.live.net/d039bdea52a34a15/Total%20Consult/3%20BMG/GD/Brasfrigo/Avalia&#231;&#227;o%20Brasfrigo.xlsx" TargetMode="External"/><Relationship Id="rId1" Type="http://schemas.openxmlformats.org/officeDocument/2006/relationships/externalLinkPath" Target="/d039bdea52a34a15/Total%20Consult/3%20BMG/GD/Brasfrigo/Avalia&#231;&#227;o%20Brasfr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etências"/>
      <sheetName val="Operacional"/>
      <sheetName val="Assistente e Técnico"/>
      <sheetName val="Analista e Especialista"/>
      <sheetName val="Encarregado e Líder"/>
      <sheetName val="Supervisor"/>
      <sheetName val="Coordenador"/>
      <sheetName val="Gerente"/>
      <sheetName val="Diretor"/>
      <sheetName val="Referências"/>
      <sheetName val="Resul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1.6</v>
          </cell>
          <cell r="C9" t="str">
            <v>Não atende</v>
          </cell>
        </row>
        <row r="10">
          <cell r="B10">
            <v>2.6</v>
          </cell>
          <cell r="C10" t="str">
            <v>Atende parcialmente</v>
          </cell>
        </row>
        <row r="11">
          <cell r="B11">
            <v>3.6</v>
          </cell>
          <cell r="C11" t="str">
            <v>Atende</v>
          </cell>
        </row>
        <row r="12">
          <cell r="B12">
            <v>4.5</v>
          </cell>
          <cell r="C12" t="str">
            <v>Supera</v>
          </cell>
        </row>
        <row r="13">
          <cell r="C13" t="str">
            <v>Supera muito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99"/>
  <sheetViews>
    <sheetView showGridLines="0" zoomScaleNormal="100" workbookViewId="0">
      <pane xSplit="1" ySplit="2" topLeftCell="B3" activePane="bottomRight" state="frozen"/>
      <selection pane="bottomRight" activeCell="C3" sqref="C3"/>
      <selection pane="bottomLeft" activeCell="A4" sqref="A4"/>
      <selection pane="topRight" activeCell="B1" sqref="B1"/>
    </sheetView>
  </sheetViews>
  <sheetFormatPr defaultColWidth="14.42578125" defaultRowHeight="15" customHeight="1"/>
  <cols>
    <col min="1" max="1" width="9.28515625" style="35"/>
    <col min="2" max="2" width="41" style="35" customWidth="1"/>
    <col min="3" max="3" width="12.7109375" style="36" customWidth="1"/>
    <col min="4" max="4" width="40.7109375" customWidth="1"/>
    <col min="5" max="5" width="12.7109375" style="37" customWidth="1"/>
    <col min="6" max="6" width="40.7109375" customWidth="1"/>
    <col min="7" max="7" width="12.7109375" style="37" customWidth="1"/>
  </cols>
  <sheetData>
    <row r="1" spans="1:7" ht="33" customHeight="1">
      <c r="A1" s="61"/>
      <c r="B1" s="81" t="s">
        <v>0</v>
      </c>
      <c r="C1" s="80"/>
      <c r="D1" s="79" t="s">
        <v>1</v>
      </c>
      <c r="E1" s="80"/>
      <c r="F1" s="79" t="s">
        <v>2</v>
      </c>
      <c r="G1" s="80"/>
    </row>
    <row r="2" spans="1:7" ht="28.15" customHeight="1">
      <c r="A2" s="62"/>
      <c r="B2" s="63" t="s">
        <v>3</v>
      </c>
      <c r="C2" s="63" t="s">
        <v>4</v>
      </c>
      <c r="D2" s="63" t="s">
        <v>3</v>
      </c>
      <c r="E2" s="63" t="s">
        <v>4</v>
      </c>
      <c r="F2" s="63" t="s">
        <v>3</v>
      </c>
      <c r="G2" s="63" t="s">
        <v>4</v>
      </c>
    </row>
    <row r="3" spans="1:7" ht="39.75" customHeight="1">
      <c r="A3" s="38">
        <v>1</v>
      </c>
      <c r="B3" s="48" t="s">
        <v>5</v>
      </c>
      <c r="C3" s="49">
        <v>0.2</v>
      </c>
      <c r="D3" s="48" t="s">
        <v>6</v>
      </c>
      <c r="E3" s="49">
        <v>0.2</v>
      </c>
      <c r="F3" s="48" t="s">
        <v>7</v>
      </c>
      <c r="G3" s="49">
        <v>0.15</v>
      </c>
    </row>
    <row r="4" spans="1:7" ht="39.75" customHeight="1">
      <c r="A4" s="38">
        <v>2</v>
      </c>
      <c r="B4" s="48" t="s">
        <v>8</v>
      </c>
      <c r="C4" s="49">
        <v>0.25</v>
      </c>
      <c r="D4" s="48" t="s">
        <v>5</v>
      </c>
      <c r="E4" s="49">
        <v>0.1</v>
      </c>
      <c r="F4" s="48" t="s">
        <v>9</v>
      </c>
      <c r="G4" s="49">
        <v>0.25</v>
      </c>
    </row>
    <row r="5" spans="1:7" ht="39.75" customHeight="1">
      <c r="A5" s="38">
        <v>3</v>
      </c>
      <c r="B5" s="48" t="s">
        <v>10</v>
      </c>
      <c r="C5" s="49">
        <v>0.25</v>
      </c>
      <c r="D5" s="39" t="s">
        <v>11</v>
      </c>
      <c r="E5" s="49">
        <v>0.15</v>
      </c>
      <c r="F5" s="39" t="s">
        <v>12</v>
      </c>
      <c r="G5" s="49">
        <v>0.15</v>
      </c>
    </row>
    <row r="6" spans="1:7" ht="39.75" customHeight="1">
      <c r="A6" s="38">
        <v>4</v>
      </c>
      <c r="B6" s="39" t="s">
        <v>13</v>
      </c>
      <c r="C6" s="49">
        <v>0.1</v>
      </c>
      <c r="D6" s="48" t="s">
        <v>7</v>
      </c>
      <c r="E6" s="49">
        <v>0.2</v>
      </c>
      <c r="F6" s="48" t="s">
        <v>14</v>
      </c>
      <c r="G6" s="49">
        <v>0.25</v>
      </c>
    </row>
    <row r="7" spans="1:7" ht="39.75" customHeight="1">
      <c r="A7" s="38">
        <v>5</v>
      </c>
      <c r="B7" s="39" t="s">
        <v>15</v>
      </c>
      <c r="C7" s="49">
        <v>0.2</v>
      </c>
      <c r="D7" s="39" t="s">
        <v>16</v>
      </c>
      <c r="E7" s="49">
        <v>0.2</v>
      </c>
      <c r="F7" s="39" t="s">
        <v>17</v>
      </c>
      <c r="G7" s="49">
        <v>0.2</v>
      </c>
    </row>
    <row r="8" spans="1:7" ht="39.75" customHeight="1">
      <c r="A8" s="38">
        <v>6</v>
      </c>
      <c r="B8" s="39"/>
      <c r="C8" s="64"/>
      <c r="D8" s="39" t="s">
        <v>14</v>
      </c>
      <c r="E8" s="49">
        <v>0.15</v>
      </c>
      <c r="F8" s="39"/>
      <c r="G8" s="49"/>
    </row>
    <row r="9" spans="1:7" ht="39.75" customHeight="1">
      <c r="A9" s="38">
        <v>7</v>
      </c>
      <c r="B9" s="48"/>
      <c r="C9" s="64"/>
      <c r="D9" s="39"/>
      <c r="E9" s="49"/>
      <c r="F9" s="39"/>
      <c r="G9" s="49"/>
    </row>
    <row r="10" spans="1:7" ht="39.75" customHeight="1">
      <c r="A10" s="38">
        <v>8</v>
      </c>
      <c r="B10" s="48"/>
      <c r="C10" s="49"/>
      <c r="D10" s="39"/>
      <c r="E10" s="49"/>
      <c r="F10" s="39"/>
      <c r="G10" s="49"/>
    </row>
    <row r="11" spans="1:7" ht="39.75" customHeight="1">
      <c r="A11" s="38">
        <v>9</v>
      </c>
      <c r="B11" s="40"/>
      <c r="C11" s="49"/>
      <c r="D11" s="39"/>
      <c r="E11" s="41"/>
      <c r="F11" s="39"/>
      <c r="G11" s="41"/>
    </row>
    <row r="12" spans="1:7" ht="39.75" customHeight="1">
      <c r="A12" s="38">
        <v>10</v>
      </c>
      <c r="B12" s="39"/>
      <c r="C12" s="49"/>
      <c r="D12" s="39"/>
      <c r="E12" s="41"/>
      <c r="F12" s="39"/>
      <c r="G12" s="41"/>
    </row>
    <row r="13" spans="1:7" ht="39.75" customHeight="1">
      <c r="A13" s="42"/>
      <c r="B13" s="43" t="s">
        <v>18</v>
      </c>
      <c r="C13" s="50">
        <f>SUM(C3:C12)</f>
        <v>1</v>
      </c>
      <c r="D13" s="43"/>
      <c r="E13" s="50">
        <f>SUM(E3:E12)</f>
        <v>1</v>
      </c>
      <c r="F13" s="43"/>
      <c r="G13" s="50">
        <f>SUM(G3:G12)</f>
        <v>1</v>
      </c>
    </row>
    <row r="14" spans="1:7" ht="39.75" customHeight="1">
      <c r="A14" s="44"/>
      <c r="B14" s="44"/>
      <c r="C14" s="45"/>
    </row>
    <row r="15" spans="1:7" ht="39.75" customHeight="1">
      <c r="A15" s="44"/>
      <c r="B15" s="44"/>
      <c r="C15" s="45"/>
    </row>
    <row r="16" spans="1:7" ht="39.75" customHeight="1">
      <c r="A16" s="44"/>
      <c r="B16" s="44"/>
      <c r="C16" s="45"/>
    </row>
    <row r="17" spans="1:3" ht="39.75" customHeight="1">
      <c r="A17" s="44"/>
      <c r="B17" s="44"/>
      <c r="C17" s="45"/>
    </row>
    <row r="18" spans="1:3" ht="39.75" customHeight="1">
      <c r="A18" s="44"/>
      <c r="B18" s="44"/>
      <c r="C18" s="45"/>
    </row>
    <row r="19" spans="1:3" ht="39.75" customHeight="1">
      <c r="A19" s="44"/>
      <c r="B19" s="44"/>
      <c r="C19" s="45"/>
    </row>
    <row r="20" spans="1:3" ht="39.75" customHeight="1">
      <c r="A20" s="44"/>
      <c r="B20" s="44"/>
      <c r="C20" s="45"/>
    </row>
    <row r="21" spans="1:3" ht="39.75" customHeight="1">
      <c r="A21" s="44"/>
      <c r="B21" s="44"/>
      <c r="C21" s="45"/>
    </row>
    <row r="22" spans="1:3" ht="39.75" customHeight="1">
      <c r="A22" s="44"/>
      <c r="B22" s="44"/>
      <c r="C22" s="45"/>
    </row>
    <row r="23" spans="1:3" ht="39.75" customHeight="1">
      <c r="A23" s="44"/>
      <c r="B23" s="44"/>
      <c r="C23" s="45"/>
    </row>
    <row r="24" spans="1:3" ht="39.75" customHeight="1">
      <c r="A24" s="44"/>
      <c r="B24" s="44"/>
      <c r="C24" s="45"/>
    </row>
    <row r="25" spans="1:3" ht="39.75" customHeight="1"/>
    <row r="26" spans="1:3" ht="39.7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D1:E1"/>
    <mergeCell ref="F1:G1"/>
    <mergeCell ref="B1:C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24"/>
  <sheetViews>
    <sheetView showGridLines="0" tabSelected="1" zoomScale="96" zoomScaleNormal="96" workbookViewId="0">
      <pane ySplit="4" topLeftCell="A14" activePane="bottomLeft" state="frozen"/>
      <selection pane="bottomLeft" activeCell="A2" sqref="A2:B4"/>
    </sheetView>
  </sheetViews>
  <sheetFormatPr defaultColWidth="14.42578125" defaultRowHeight="15" customHeight="1" outlineLevelCol="1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47" customWidth="1" outlineLevel="1"/>
    <col min="7" max="7" width="8.85546875" customWidth="1"/>
    <col min="8" max="26" width="8.7109375" customWidth="1"/>
  </cols>
  <sheetData>
    <row r="1" spans="1:26" ht="33" customHeight="1">
      <c r="A1" s="70"/>
      <c r="B1" s="90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6" ht="24.75" customHeight="1">
      <c r="A2" s="75" t="s">
        <v>19</v>
      </c>
      <c r="B2" s="76"/>
      <c r="C2" s="51"/>
      <c r="D2" s="3" t="s">
        <v>20</v>
      </c>
      <c r="E2" s="52" t="s">
        <v>21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1"/>
      <c r="V2" s="1"/>
      <c r="W2" s="1"/>
      <c r="X2" s="1"/>
      <c r="Y2" s="1"/>
      <c r="Z2" s="1"/>
    </row>
    <row r="3" spans="1:26" ht="24.75" customHeight="1">
      <c r="A3" s="77"/>
      <c r="B3" s="78"/>
      <c r="C3" s="51"/>
      <c r="D3" s="4">
        <f>SUM(C7,C15,C23,C31,C39)</f>
        <v>1</v>
      </c>
      <c r="E3" s="5">
        <f>SUM(E7,E15,E23,E31,E39)</f>
        <v>0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1"/>
      <c r="V3" s="1"/>
      <c r="W3" s="1"/>
      <c r="X3" s="1"/>
      <c r="Y3" s="1"/>
      <c r="Z3" s="1"/>
    </row>
    <row r="4" spans="1:26" ht="24.75" customHeight="1">
      <c r="A4" s="77"/>
      <c r="B4" s="78"/>
      <c r="C4" s="51"/>
      <c r="D4" s="71" t="s">
        <v>22</v>
      </c>
      <c r="E4" s="9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1"/>
      <c r="V4" s="1"/>
      <c r="W4" s="1"/>
      <c r="X4" s="1"/>
      <c r="Y4" s="1"/>
      <c r="Z4" s="1"/>
    </row>
    <row r="5" spans="1:26" ht="18.75" customHeight="1" thickBot="1">
      <c r="A5" s="46" t="str">
        <f>Agro!B3</f>
        <v>Comprometimento</v>
      </c>
      <c r="B5" s="72" t="s">
        <v>23</v>
      </c>
      <c r="C5" s="53"/>
      <c r="D5" s="7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7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6" ht="33.6" customHeight="1" thickBot="1">
      <c r="A6" s="59" t="s">
        <v>24</v>
      </c>
      <c r="B6" s="9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6" ht="19.899999999999999" customHeight="1" thickBot="1">
      <c r="A7" s="60" t="s">
        <v>25</v>
      </c>
      <c r="B7" s="92"/>
      <c r="C7" s="58">
        <f>VLOOKUP(A5,Agro!$B$3:$C$12,2,FALSE)</f>
        <v>0.2</v>
      </c>
      <c r="D7" s="54"/>
      <c r="E7" s="54">
        <f>C7*E12</f>
        <v>0</v>
      </c>
      <c r="F7" s="54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6" ht="51" customHeight="1">
      <c r="A8" s="34" t="s">
        <v>26</v>
      </c>
      <c r="B8" s="55"/>
      <c r="C8" s="54">
        <f>COUNTA(B8)</f>
        <v>0</v>
      </c>
      <c r="D8" s="54">
        <f>Referências!$B$2</f>
        <v>1</v>
      </c>
      <c r="E8" s="54">
        <f t="shared" ref="E8:E11" si="0">C8*D8</f>
        <v>0</v>
      </c>
      <c r="F8" s="54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1:26" ht="51" customHeight="1">
      <c r="A9" s="34" t="s">
        <v>27</v>
      </c>
      <c r="B9" s="56"/>
      <c r="C9" s="54">
        <f>COUNTA(B9)</f>
        <v>0</v>
      </c>
      <c r="D9" s="54">
        <f>Referências!$B$3</f>
        <v>2</v>
      </c>
      <c r="E9" s="54">
        <f t="shared" si="0"/>
        <v>0</v>
      </c>
      <c r="F9" s="54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6" ht="51" customHeight="1">
      <c r="A10" s="34" t="s">
        <v>28</v>
      </c>
      <c r="B10" s="56"/>
      <c r="C10" s="54">
        <f>COUNTA(B10)</f>
        <v>0</v>
      </c>
      <c r="D10" s="54">
        <f>Referências!$B$4</f>
        <v>3</v>
      </c>
      <c r="E10" s="54">
        <f t="shared" si="0"/>
        <v>0</v>
      </c>
      <c r="F10" s="54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6" ht="51" customHeight="1" thickBot="1">
      <c r="A11" s="34" t="s">
        <v>29</v>
      </c>
      <c r="B11" s="57"/>
      <c r="C11" s="54">
        <f>COUNTA(B11)</f>
        <v>0</v>
      </c>
      <c r="D11" s="54">
        <f>Referências!$B$5</f>
        <v>5</v>
      </c>
      <c r="E11" s="54">
        <f t="shared" si="0"/>
        <v>0</v>
      </c>
      <c r="F11" s="54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6" ht="14.25" customHeight="1">
      <c r="A12" s="53"/>
      <c r="B12" s="53"/>
      <c r="C12" s="54"/>
      <c r="D12" s="54"/>
      <c r="E12" s="54">
        <f>SUM(E8:E11)</f>
        <v>0</v>
      </c>
      <c r="F12" s="5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6" ht="18.75" customHeight="1" thickBot="1">
      <c r="A13" s="46" t="str">
        <f>Agro!B4</f>
        <v>Organização e zelo com equipamentos</v>
      </c>
      <c r="B13" s="72" t="s">
        <v>23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1:26" ht="40.9" customHeight="1" thickBot="1">
      <c r="A14" s="59" t="s">
        <v>30</v>
      </c>
      <c r="B14" s="9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</row>
    <row r="15" spans="1:26" ht="23.45" customHeight="1" thickBot="1">
      <c r="A15" s="60" t="s">
        <v>25</v>
      </c>
      <c r="B15" s="92"/>
      <c r="C15" s="58">
        <f>VLOOKUP(A13,Agro!$B$3:$C$12,2,FALSE)</f>
        <v>0.25</v>
      </c>
      <c r="D15" s="54">
        <f>COUNTA(A17:A19)</f>
        <v>3</v>
      </c>
      <c r="E15" s="54">
        <f>C15*E20</f>
        <v>0</v>
      </c>
      <c r="F15" s="9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1:26" ht="51" customHeight="1">
      <c r="A16" s="34" t="s">
        <v>31</v>
      </c>
      <c r="B16" s="55"/>
      <c r="C16" s="54">
        <f>COUNTA(B16)</f>
        <v>0</v>
      </c>
      <c r="D16" s="54">
        <f>Referências!$B$2</f>
        <v>1</v>
      </c>
      <c r="E16" s="54">
        <f t="shared" ref="E16:E19" si="1">C16*D16</f>
        <v>0</v>
      </c>
      <c r="F16" s="54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1:20" ht="51" customHeight="1">
      <c r="A17" s="34" t="s">
        <v>32</v>
      </c>
      <c r="B17" s="56"/>
      <c r="C17" s="54">
        <f>COUNTA(B17)</f>
        <v>0</v>
      </c>
      <c r="D17" s="54">
        <f>Referências!$B$3</f>
        <v>2</v>
      </c>
      <c r="E17" s="54">
        <f t="shared" si="1"/>
        <v>0</v>
      </c>
      <c r="F17" s="54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</row>
    <row r="18" spans="1:20" ht="51" customHeight="1">
      <c r="A18" s="34" t="s">
        <v>33</v>
      </c>
      <c r="B18" s="56"/>
      <c r="C18" s="54">
        <f>COUNTA(B18)</f>
        <v>0</v>
      </c>
      <c r="D18" s="54">
        <f>Referências!$B$4</f>
        <v>3</v>
      </c>
      <c r="E18" s="54">
        <f t="shared" si="1"/>
        <v>0</v>
      </c>
      <c r="F18" s="54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</row>
    <row r="19" spans="1:20" ht="51" customHeight="1" thickBot="1">
      <c r="A19" s="34" t="s">
        <v>34</v>
      </c>
      <c r="B19" s="57"/>
      <c r="C19" s="54">
        <f>COUNTA(B19)</f>
        <v>0</v>
      </c>
      <c r="D19" s="54">
        <f>Referências!$B$5</f>
        <v>5</v>
      </c>
      <c r="E19" s="54">
        <f t="shared" si="1"/>
        <v>0</v>
      </c>
      <c r="F19" s="54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1:20" ht="14.25" customHeight="1">
      <c r="A20" s="53"/>
      <c r="B20" s="53"/>
      <c r="C20" s="54"/>
      <c r="D20" s="54"/>
      <c r="E20" s="54">
        <f>SUM(E16:E19)</f>
        <v>0</v>
      </c>
      <c r="F20" s="54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1:20" ht="18.75" customHeight="1" thickBot="1">
      <c r="A21" s="46" t="str">
        <f>Agro!B5</f>
        <v>Orientação para segurança</v>
      </c>
      <c r="B21" s="72" t="s">
        <v>23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1:20" ht="43.5" customHeight="1" thickBot="1">
      <c r="A22" s="59" t="s">
        <v>35</v>
      </c>
      <c r="B22" s="9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</row>
    <row r="23" spans="1:20" ht="19.149999999999999" customHeight="1" thickBot="1">
      <c r="A23" s="60" t="s">
        <v>25</v>
      </c>
      <c r="B23" s="92"/>
      <c r="C23" s="58">
        <f>VLOOKUP(A21,Agro!$B$3:$C$12,2,FALSE)</f>
        <v>0.25</v>
      </c>
      <c r="D23" s="54">
        <f>COUNTA(A24:A27)</f>
        <v>4</v>
      </c>
      <c r="E23" s="54">
        <f>C23*E28</f>
        <v>0</v>
      </c>
      <c r="F23" s="9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</row>
    <row r="24" spans="1:20" ht="51" customHeight="1">
      <c r="A24" s="34" t="s">
        <v>36</v>
      </c>
      <c r="B24" s="55"/>
      <c r="C24" s="54">
        <f>COUNTA(B24)</f>
        <v>0</v>
      </c>
      <c r="D24" s="54">
        <f>Referências!$B$2</f>
        <v>1</v>
      </c>
      <c r="E24" s="54">
        <f t="shared" ref="E24:E27" si="2">C24*D24</f>
        <v>0</v>
      </c>
      <c r="F24" s="5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1:20" ht="51" customHeight="1">
      <c r="A25" s="34" t="s">
        <v>37</v>
      </c>
      <c r="B25" s="56"/>
      <c r="C25" s="54">
        <f>COUNTA(B25)</f>
        <v>0</v>
      </c>
      <c r="D25" s="54">
        <f>Referências!$B$3</f>
        <v>2</v>
      </c>
      <c r="E25" s="54">
        <f t="shared" si="2"/>
        <v>0</v>
      </c>
      <c r="F25" s="5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ht="51" customHeight="1">
      <c r="A26" s="34" t="s">
        <v>38</v>
      </c>
      <c r="B26" s="56"/>
      <c r="C26" s="54">
        <f>COUNTA(B26)</f>
        <v>0</v>
      </c>
      <c r="D26" s="54">
        <f>Referências!$B$4</f>
        <v>3</v>
      </c>
      <c r="E26" s="54">
        <f t="shared" si="2"/>
        <v>0</v>
      </c>
      <c r="F26" s="54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</row>
    <row r="27" spans="1:20" ht="51" customHeight="1" thickBot="1">
      <c r="A27" s="34" t="s">
        <v>39</v>
      </c>
      <c r="B27" s="57"/>
      <c r="C27" s="54">
        <f>COUNTA(B27)</f>
        <v>0</v>
      </c>
      <c r="D27" s="54">
        <f>Referências!$B$5</f>
        <v>5</v>
      </c>
      <c r="E27" s="54">
        <f t="shared" si="2"/>
        <v>0</v>
      </c>
      <c r="F27" s="54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1:20" ht="14.25" customHeight="1">
      <c r="A28" s="53"/>
      <c r="B28" s="53"/>
      <c r="C28" s="54"/>
      <c r="D28" s="54"/>
      <c r="E28" s="54">
        <f>SUM(E24:E27)</f>
        <v>0</v>
      </c>
      <c r="F28" s="5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</row>
    <row r="29" spans="1:20" ht="18.75" customHeight="1" thickBot="1">
      <c r="A29" s="46" t="str">
        <f>Agro!B6</f>
        <v xml:space="preserve">Proatividade </v>
      </c>
      <c r="B29" s="72" t="s">
        <v>23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</row>
    <row r="30" spans="1:20" ht="43.5" customHeight="1" thickBot="1">
      <c r="A30" s="59" t="s">
        <v>40</v>
      </c>
      <c r="B30" s="9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1:20" ht="20.45" customHeight="1" thickBot="1">
      <c r="A31" s="60" t="s">
        <v>25</v>
      </c>
      <c r="B31" s="92"/>
      <c r="C31" s="58">
        <f>VLOOKUP(A29,Agro!$B$3:$C$12,2,FALSE)</f>
        <v>0.1</v>
      </c>
      <c r="D31" s="54">
        <f>COUNTA(A32:A35)</f>
        <v>4</v>
      </c>
      <c r="E31" s="54">
        <f>C31*E36</f>
        <v>0</v>
      </c>
      <c r="F31" s="9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</row>
    <row r="32" spans="1:20" ht="51" customHeight="1">
      <c r="A32" s="34" t="s">
        <v>41</v>
      </c>
      <c r="B32" s="55"/>
      <c r="C32" s="54">
        <f>COUNTA(B32)</f>
        <v>0</v>
      </c>
      <c r="D32" s="54">
        <f>Referências!$B$2</f>
        <v>1</v>
      </c>
      <c r="E32" s="54">
        <f t="shared" ref="E32:E35" si="3">C32*D32</f>
        <v>0</v>
      </c>
      <c r="F32" s="54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</row>
    <row r="33" spans="1:20" ht="51" customHeight="1">
      <c r="A33" s="34" t="s">
        <v>42</v>
      </c>
      <c r="B33" s="56"/>
      <c r="C33" s="54">
        <f>COUNTA(B33)</f>
        <v>0</v>
      </c>
      <c r="D33" s="54">
        <f>Referências!$B$3</f>
        <v>2</v>
      </c>
      <c r="E33" s="54">
        <f t="shared" si="3"/>
        <v>0</v>
      </c>
      <c r="F33" s="54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</row>
    <row r="34" spans="1:20" ht="51" customHeight="1">
      <c r="A34" s="34" t="s">
        <v>43</v>
      </c>
      <c r="B34" s="56"/>
      <c r="C34" s="54">
        <f>COUNTA(B34)</f>
        <v>0</v>
      </c>
      <c r="D34" s="54">
        <f>Referências!$B$4</f>
        <v>3</v>
      </c>
      <c r="E34" s="54">
        <f t="shared" si="3"/>
        <v>0</v>
      </c>
      <c r="F34" s="5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1:20" ht="51" customHeight="1" thickBot="1">
      <c r="A35" s="34" t="s">
        <v>44</v>
      </c>
      <c r="B35" s="57"/>
      <c r="C35" s="54">
        <f>COUNTA(B35)</f>
        <v>0</v>
      </c>
      <c r="D35" s="54">
        <f>Referências!$B$5</f>
        <v>5</v>
      </c>
      <c r="E35" s="54">
        <f t="shared" si="3"/>
        <v>0</v>
      </c>
      <c r="F35" s="5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ht="14.25" customHeight="1">
      <c r="A36" s="53"/>
      <c r="B36" s="53"/>
      <c r="C36" s="54"/>
      <c r="D36" s="54"/>
      <c r="E36" s="54">
        <f>SUM(E32:E35)</f>
        <v>0</v>
      </c>
      <c r="F36" s="5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1:20" ht="20.45" customHeight="1" thickBot="1">
      <c r="A37" s="46" t="str">
        <f>Agro!B7</f>
        <v>Trabalho em equipe</v>
      </c>
      <c r="B37" s="72" t="s">
        <v>23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</row>
    <row r="38" spans="1:20" ht="43.5" customHeight="1" thickBot="1">
      <c r="A38" s="59" t="s">
        <v>45</v>
      </c>
      <c r="B38" s="92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</row>
    <row r="39" spans="1:20" ht="21" customHeight="1" thickBot="1">
      <c r="A39" s="60" t="s">
        <v>25</v>
      </c>
      <c r="B39" s="92"/>
      <c r="C39" s="65">
        <f>VLOOKUP(A37,Agro!$B$3:$C$12,2,FALSE)</f>
        <v>0.2</v>
      </c>
      <c r="D39" s="54">
        <f>COUNTA(A40:A43)</f>
        <v>4</v>
      </c>
      <c r="E39" s="54">
        <f>C39*E44</f>
        <v>0</v>
      </c>
      <c r="F39" s="9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</row>
    <row r="40" spans="1:20" ht="47.45" customHeight="1">
      <c r="A40" s="34" t="s">
        <v>46</v>
      </c>
      <c r="B40" s="55"/>
      <c r="C40" s="54">
        <f>COUNTA(B40)</f>
        <v>0</v>
      </c>
      <c r="D40" s="54">
        <f>Referências!$B$2</f>
        <v>1</v>
      </c>
      <c r="E40" s="54">
        <f t="shared" ref="E40:E43" si="4">C40*D40</f>
        <v>0</v>
      </c>
      <c r="F40" s="54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</row>
    <row r="41" spans="1:20" ht="51" customHeight="1">
      <c r="A41" s="34" t="s">
        <v>47</v>
      </c>
      <c r="B41" s="56"/>
      <c r="C41" s="54">
        <f>COUNTA(B41)</f>
        <v>0</v>
      </c>
      <c r="D41" s="54">
        <f>Referências!$B$3</f>
        <v>2</v>
      </c>
      <c r="E41" s="54">
        <f t="shared" si="4"/>
        <v>0</v>
      </c>
      <c r="F41" s="54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</row>
    <row r="42" spans="1:20" ht="51" customHeight="1">
      <c r="A42" s="34" t="s">
        <v>48</v>
      </c>
      <c r="B42" s="56"/>
      <c r="C42" s="54">
        <f>COUNTA(B42)</f>
        <v>0</v>
      </c>
      <c r="D42" s="54">
        <f>Referências!$B$4</f>
        <v>3</v>
      </c>
      <c r="E42" s="54">
        <f t="shared" si="4"/>
        <v>0</v>
      </c>
      <c r="F42" s="54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</row>
    <row r="43" spans="1:20" ht="51" customHeight="1" thickBot="1">
      <c r="A43" s="34" t="s">
        <v>49</v>
      </c>
      <c r="B43" s="57"/>
      <c r="C43" s="54">
        <f>COUNTA(B43)</f>
        <v>0</v>
      </c>
      <c r="D43" s="54">
        <f>Referências!$B$5</f>
        <v>5</v>
      </c>
      <c r="E43" s="54">
        <f t="shared" si="4"/>
        <v>0</v>
      </c>
      <c r="F43" s="5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</row>
    <row r="44" spans="1:20" ht="14.25" customHeight="1">
      <c r="A44" s="53"/>
      <c r="B44" s="53"/>
      <c r="C44" s="54"/>
      <c r="D44" s="54"/>
      <c r="E44" s="54">
        <f>SUM(E40:E43)</f>
        <v>0</v>
      </c>
      <c r="F44" s="54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</row>
    <row r="45" spans="1:20" ht="18.75" customHeight="1">
      <c r="B45" s="4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</row>
    <row r="46" spans="1:20" ht="14.25" customHeight="1"/>
    <row r="47" spans="1:20" ht="14.25" customHeight="1"/>
    <row r="48" spans="1:2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</sheetData>
  <mergeCells count="9">
    <mergeCell ref="A1:B1"/>
    <mergeCell ref="D4:E4"/>
    <mergeCell ref="B5:B7"/>
    <mergeCell ref="D5:E5"/>
    <mergeCell ref="B37:B39"/>
    <mergeCell ref="B21:B23"/>
    <mergeCell ref="B29:B31"/>
    <mergeCell ref="B13:B15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1DB0-C694-45A3-88B0-E295595D62CE}">
  <sheetPr>
    <pageSetUpPr fitToPage="1"/>
  </sheetPr>
  <dimension ref="A1:Z969"/>
  <sheetViews>
    <sheetView showGridLines="0" zoomScale="106" zoomScaleNormal="106" workbookViewId="0">
      <pane ySplit="4" topLeftCell="A35" activePane="bottomLeft" state="frozen"/>
      <selection pane="bottomLeft" activeCell="A38" sqref="A38:A43"/>
    </sheetView>
  </sheetViews>
  <sheetFormatPr defaultColWidth="14.42578125" defaultRowHeight="15" customHeight="1" outlineLevelCol="1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47" customWidth="1" outlineLevel="1"/>
    <col min="7" max="7" width="8.85546875" customWidth="1"/>
    <col min="8" max="26" width="8.7109375" customWidth="1"/>
  </cols>
  <sheetData>
    <row r="1" spans="1:26" ht="33" customHeight="1">
      <c r="A1" s="70"/>
      <c r="B1" s="90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6" ht="24.75" customHeight="1">
      <c r="A2" s="75" t="s">
        <v>50</v>
      </c>
      <c r="B2" s="76"/>
      <c r="C2" s="51"/>
      <c r="D2" s="3" t="s">
        <v>20</v>
      </c>
      <c r="E2" s="52" t="s">
        <v>21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1"/>
      <c r="V2" s="1"/>
      <c r="W2" s="1"/>
      <c r="X2" s="1"/>
      <c r="Y2" s="1"/>
      <c r="Z2" s="1"/>
    </row>
    <row r="3" spans="1:26" ht="24.75" customHeight="1">
      <c r="A3" s="77"/>
      <c r="B3" s="78"/>
      <c r="C3" s="51"/>
      <c r="D3" s="4">
        <f>SUM(C7,C15,C23,C31,C39,C48)</f>
        <v>1</v>
      </c>
      <c r="E3" s="5">
        <f>SUM(E7,E15,E23,E31,E39,E48)</f>
        <v>0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1"/>
      <c r="V3" s="1"/>
      <c r="W3" s="1"/>
      <c r="X3" s="1"/>
      <c r="Y3" s="1"/>
      <c r="Z3" s="1"/>
    </row>
    <row r="4" spans="1:26" ht="24.75" customHeight="1">
      <c r="A4" s="77"/>
      <c r="B4" s="78"/>
      <c r="C4" s="51"/>
      <c r="D4" s="71" t="s">
        <v>22</v>
      </c>
      <c r="E4" s="9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1"/>
      <c r="V4" s="1"/>
      <c r="W4" s="1"/>
      <c r="X4" s="1"/>
      <c r="Y4" s="1"/>
      <c r="Z4" s="1"/>
    </row>
    <row r="5" spans="1:26" ht="18.75" customHeight="1" thickBot="1">
      <c r="A5" s="46" t="str">
        <f>Agro!D3</f>
        <v>Capacidade de análise</v>
      </c>
      <c r="B5" s="72" t="s">
        <v>23</v>
      </c>
      <c r="C5" s="53"/>
      <c r="D5" s="7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7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6" ht="33.6" customHeight="1" thickBot="1">
      <c r="A6" s="66" t="s">
        <v>51</v>
      </c>
      <c r="B6" s="9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6" ht="19.899999999999999" customHeight="1" thickBot="1">
      <c r="A7" s="60" t="s">
        <v>25</v>
      </c>
      <c r="B7" s="92"/>
      <c r="C7" s="58">
        <f>VLOOKUP(A5,Agro!$D$3:$E$12,2,FALSE)</f>
        <v>0.2</v>
      </c>
      <c r="D7" s="54"/>
      <c r="E7" s="54">
        <f>C7*E12</f>
        <v>0</v>
      </c>
      <c r="F7" s="54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6" ht="51" customHeight="1">
      <c r="A8" s="34" t="s">
        <v>52</v>
      </c>
      <c r="B8" s="55"/>
      <c r="C8" s="54">
        <f>COUNTA(B8)</f>
        <v>0</v>
      </c>
      <c r="D8" s="54">
        <f>Referências!$B$2</f>
        <v>1</v>
      </c>
      <c r="E8" s="54">
        <f t="shared" ref="E8:E11" si="0">C8*D8</f>
        <v>0</v>
      </c>
      <c r="F8" s="54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1:26" ht="51" customHeight="1">
      <c r="A9" s="34" t="s">
        <v>53</v>
      </c>
      <c r="B9" s="56"/>
      <c r="C9" s="54">
        <f>COUNTA(B9)</f>
        <v>0</v>
      </c>
      <c r="D9" s="54">
        <f>Referências!$B$3</f>
        <v>2</v>
      </c>
      <c r="E9" s="54">
        <f t="shared" si="0"/>
        <v>0</v>
      </c>
      <c r="F9" s="54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6" ht="51" customHeight="1">
      <c r="A10" s="34" t="s">
        <v>54</v>
      </c>
      <c r="B10" s="56"/>
      <c r="C10" s="54">
        <f>COUNTA(B10)</f>
        <v>0</v>
      </c>
      <c r="D10" s="54">
        <f>Referências!$B$4</f>
        <v>3</v>
      </c>
      <c r="E10" s="54">
        <f t="shared" si="0"/>
        <v>0</v>
      </c>
      <c r="F10" s="54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6" ht="51" customHeight="1" thickBot="1">
      <c r="A11" s="34" t="s">
        <v>55</v>
      </c>
      <c r="B11" s="57"/>
      <c r="C11" s="54">
        <f>COUNTA(B11)</f>
        <v>0</v>
      </c>
      <c r="D11" s="54">
        <f>Referências!$B$5</f>
        <v>5</v>
      </c>
      <c r="E11" s="54">
        <f t="shared" si="0"/>
        <v>0</v>
      </c>
      <c r="F11" s="54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6" ht="14.25" customHeight="1">
      <c r="A12" s="53"/>
      <c r="B12" s="53"/>
      <c r="C12" s="54"/>
      <c r="D12" s="54"/>
      <c r="E12" s="54">
        <f>SUM(E8:E11)</f>
        <v>0</v>
      </c>
      <c r="F12" s="5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6" ht="18.75" customHeight="1" thickBot="1">
      <c r="A13" s="46" t="str">
        <f>Agro!D4</f>
        <v>Comprometimento</v>
      </c>
      <c r="B13" s="72" t="s">
        <v>23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1:26" ht="40.9" customHeight="1" thickBot="1">
      <c r="A14" s="59" t="s">
        <v>24</v>
      </c>
      <c r="B14" s="9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</row>
    <row r="15" spans="1:26" ht="23.45" customHeight="1" thickBot="1">
      <c r="A15" s="60" t="s">
        <v>25</v>
      </c>
      <c r="B15" s="92"/>
      <c r="C15" s="58">
        <f>VLOOKUP(A13,Agro!$D$3:$E$12,2,FALSE)</f>
        <v>0.1</v>
      </c>
      <c r="D15" s="54">
        <f>COUNTA(A17:A19)</f>
        <v>3</v>
      </c>
      <c r="E15" s="54">
        <f>C15*E20</f>
        <v>0</v>
      </c>
      <c r="F15" s="9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1:26" ht="51" customHeight="1">
      <c r="A16" s="34" t="s">
        <v>26</v>
      </c>
      <c r="B16" s="55"/>
      <c r="C16" s="54">
        <f>COUNTA(B16)</f>
        <v>0</v>
      </c>
      <c r="D16" s="54">
        <f>Referências!$B$2</f>
        <v>1</v>
      </c>
      <c r="E16" s="54">
        <f t="shared" ref="E16:E19" si="1">C16*D16</f>
        <v>0</v>
      </c>
      <c r="F16" s="54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1:20" ht="51" customHeight="1">
      <c r="A17" s="34" t="s">
        <v>27</v>
      </c>
      <c r="B17" s="56"/>
      <c r="C17" s="54">
        <f>COUNTA(B17)</f>
        <v>0</v>
      </c>
      <c r="D17" s="54">
        <f>Referências!$B$3</f>
        <v>2</v>
      </c>
      <c r="E17" s="54">
        <f t="shared" si="1"/>
        <v>0</v>
      </c>
      <c r="F17" s="54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</row>
    <row r="18" spans="1:20" ht="51" customHeight="1">
      <c r="A18" s="34" t="s">
        <v>28</v>
      </c>
      <c r="B18" s="56"/>
      <c r="C18" s="54">
        <f>COUNTA(B18)</f>
        <v>0</v>
      </c>
      <c r="D18" s="54">
        <f>Referências!$B$4</f>
        <v>3</v>
      </c>
      <c r="E18" s="54">
        <f t="shared" si="1"/>
        <v>0</v>
      </c>
      <c r="F18" s="54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</row>
    <row r="19" spans="1:20" ht="51" customHeight="1" thickBot="1">
      <c r="A19" s="34" t="s">
        <v>29</v>
      </c>
      <c r="B19" s="57"/>
      <c r="C19" s="54">
        <f>COUNTA(B19)</f>
        <v>0</v>
      </c>
      <c r="D19" s="54">
        <f>Referências!$B$5</f>
        <v>5</v>
      </c>
      <c r="E19" s="54">
        <f t="shared" si="1"/>
        <v>0</v>
      </c>
      <c r="F19" s="54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1:20" ht="14.25" customHeight="1">
      <c r="A20" s="53"/>
      <c r="B20" s="53"/>
      <c r="C20" s="54"/>
      <c r="D20" s="54"/>
      <c r="E20" s="54">
        <f>SUM(E16:E19)</f>
        <v>0</v>
      </c>
      <c r="F20" s="54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1:20" ht="18.75" customHeight="1" thickBot="1">
      <c r="A21" s="46" t="str">
        <f>Agro!D5</f>
        <v>Comunicação</v>
      </c>
      <c r="B21" s="72" t="s">
        <v>23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1:20" ht="43.5" customHeight="1" thickBot="1">
      <c r="A22" s="66" t="s">
        <v>56</v>
      </c>
      <c r="B22" s="9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</row>
    <row r="23" spans="1:20" ht="19.149999999999999" customHeight="1" thickBot="1">
      <c r="A23" s="60" t="s">
        <v>25</v>
      </c>
      <c r="B23" s="92"/>
      <c r="C23" s="58">
        <f>VLOOKUP(A21,Agro!$D$3:$E$12,2,FALSE)</f>
        <v>0.15</v>
      </c>
      <c r="D23" s="54">
        <f>COUNTA(A24:A27)</f>
        <v>4</v>
      </c>
      <c r="E23" s="54">
        <f>C23*E28</f>
        <v>0</v>
      </c>
      <c r="F23" s="9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</row>
    <row r="24" spans="1:20" ht="51" customHeight="1">
      <c r="A24" s="67" t="s">
        <v>57</v>
      </c>
      <c r="B24" s="55"/>
      <c r="C24" s="54">
        <f>COUNTA(B24)</f>
        <v>0</v>
      </c>
      <c r="D24" s="54">
        <f>Referências!$B$2</f>
        <v>1</v>
      </c>
      <c r="E24" s="54">
        <f t="shared" ref="E24:E27" si="2">C24*D24</f>
        <v>0</v>
      </c>
      <c r="F24" s="5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1:20" ht="51" customHeight="1">
      <c r="A25" s="67" t="s">
        <v>58</v>
      </c>
      <c r="B25" s="56"/>
      <c r="C25" s="54">
        <f>COUNTA(B25)</f>
        <v>0</v>
      </c>
      <c r="D25" s="54">
        <f>Referências!$B$3</f>
        <v>2</v>
      </c>
      <c r="E25" s="54">
        <f t="shared" si="2"/>
        <v>0</v>
      </c>
      <c r="F25" s="5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ht="51" customHeight="1">
      <c r="A26" s="67" t="s">
        <v>59</v>
      </c>
      <c r="B26" s="56"/>
      <c r="C26" s="54">
        <f>COUNTA(B26)</f>
        <v>0</v>
      </c>
      <c r="D26" s="54">
        <f>Referências!$B$4</f>
        <v>3</v>
      </c>
      <c r="E26" s="54">
        <f t="shared" si="2"/>
        <v>0</v>
      </c>
      <c r="F26" s="54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</row>
    <row r="27" spans="1:20" ht="51" customHeight="1" thickBot="1">
      <c r="A27" s="68" t="s">
        <v>60</v>
      </c>
      <c r="B27" s="57"/>
      <c r="C27" s="54">
        <f>COUNTA(B27)</f>
        <v>0</v>
      </c>
      <c r="D27" s="54">
        <f>Referências!$B$5</f>
        <v>5</v>
      </c>
      <c r="E27" s="54">
        <f t="shared" si="2"/>
        <v>0</v>
      </c>
      <c r="F27" s="54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1:20" ht="14.25" customHeight="1">
      <c r="A28" s="53"/>
      <c r="B28" s="53"/>
      <c r="C28" s="54"/>
      <c r="D28" s="54"/>
      <c r="E28" s="54">
        <f>SUM(E24:E27)</f>
        <v>0</v>
      </c>
      <c r="F28" s="5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</row>
    <row r="29" spans="1:20" ht="18.75" customHeight="1" thickBot="1">
      <c r="A29" s="46" t="str">
        <f>Agro!D6</f>
        <v>Gestão de Pessoas</v>
      </c>
      <c r="B29" s="72" t="s">
        <v>23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</row>
    <row r="30" spans="1:20" ht="43.5" customHeight="1" thickBot="1">
      <c r="A30" s="69" t="s">
        <v>61</v>
      </c>
      <c r="B30" s="9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1:20" ht="20.45" customHeight="1" thickBot="1">
      <c r="A31" s="60" t="s">
        <v>25</v>
      </c>
      <c r="B31" s="92"/>
      <c r="C31" s="58">
        <f>VLOOKUP(A29,Agro!$D$3:$E$12,2,FALSE)</f>
        <v>0.2</v>
      </c>
      <c r="D31" s="54">
        <f>COUNTA(A32:A35)</f>
        <v>4</v>
      </c>
      <c r="E31" s="54">
        <f>C31*E36</f>
        <v>0</v>
      </c>
      <c r="F31" s="9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</row>
    <row r="32" spans="1:20" ht="51" customHeight="1">
      <c r="A32" s="34" t="s">
        <v>62</v>
      </c>
      <c r="B32" s="55"/>
      <c r="C32" s="54">
        <f>COUNTA(B32)</f>
        <v>0</v>
      </c>
      <c r="D32" s="54">
        <f>Referências!$B$2</f>
        <v>1</v>
      </c>
      <c r="E32" s="54">
        <f t="shared" ref="E32:E35" si="3">C32*D32</f>
        <v>0</v>
      </c>
      <c r="F32" s="54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</row>
    <row r="33" spans="1:20" ht="51" customHeight="1">
      <c r="A33" s="34" t="s">
        <v>63</v>
      </c>
      <c r="B33" s="56"/>
      <c r="C33" s="54">
        <f>COUNTA(B33)</f>
        <v>0</v>
      </c>
      <c r="D33" s="54">
        <f>Referências!$B$3</f>
        <v>2</v>
      </c>
      <c r="E33" s="54">
        <f t="shared" si="3"/>
        <v>0</v>
      </c>
      <c r="F33" s="54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</row>
    <row r="34" spans="1:20" ht="51" customHeight="1">
      <c r="A34" s="34" t="s">
        <v>64</v>
      </c>
      <c r="B34" s="56"/>
      <c r="C34" s="54">
        <f>COUNTA(B34)</f>
        <v>0</v>
      </c>
      <c r="D34" s="54">
        <f>Referências!$B$4</f>
        <v>3</v>
      </c>
      <c r="E34" s="54">
        <f t="shared" si="3"/>
        <v>0</v>
      </c>
      <c r="F34" s="5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1:20" ht="51" customHeight="1" thickBot="1">
      <c r="A35" s="34" t="s">
        <v>65</v>
      </c>
      <c r="B35" s="57"/>
      <c r="C35" s="54">
        <f>COUNTA(B35)</f>
        <v>0</v>
      </c>
      <c r="D35" s="54">
        <f>Referências!$B$5</f>
        <v>5</v>
      </c>
      <c r="E35" s="54">
        <f t="shared" si="3"/>
        <v>0</v>
      </c>
      <c r="F35" s="5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ht="14.25" customHeight="1">
      <c r="A36" s="53"/>
      <c r="B36" s="53"/>
      <c r="C36" s="54"/>
      <c r="D36" s="54"/>
      <c r="E36" s="54">
        <f>SUM(E32:E35)</f>
        <v>0</v>
      </c>
      <c r="F36" s="5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1:20" ht="20.45" customHeight="1" thickBot="1">
      <c r="A37" s="46" t="str">
        <f>Agro!D7</f>
        <v>Planejamento</v>
      </c>
      <c r="B37" s="72" t="s">
        <v>23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</row>
    <row r="38" spans="1:20" ht="43.5" customHeight="1" thickBot="1">
      <c r="A38" s="59" t="s">
        <v>66</v>
      </c>
      <c r="B38" s="92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</row>
    <row r="39" spans="1:20" ht="21" customHeight="1" thickBot="1">
      <c r="A39" s="60" t="s">
        <v>25</v>
      </c>
      <c r="B39" s="92"/>
      <c r="C39" s="58">
        <f>VLOOKUP(A37,Agro!$D$3:$E$12,2,FALSE)</f>
        <v>0.2</v>
      </c>
      <c r="D39" s="54">
        <f>COUNTA(A40:A43)</f>
        <v>4</v>
      </c>
      <c r="E39" s="54">
        <f>C39*E44</f>
        <v>0</v>
      </c>
      <c r="F39" s="9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</row>
    <row r="40" spans="1:20" ht="47.45" customHeight="1">
      <c r="A40" s="34" t="s">
        <v>67</v>
      </c>
      <c r="B40" s="55"/>
      <c r="C40" s="54">
        <f>COUNTA(B40)</f>
        <v>0</v>
      </c>
      <c r="D40" s="54">
        <f>Referências!$B$2</f>
        <v>1</v>
      </c>
      <c r="E40" s="54">
        <f t="shared" ref="E40:E43" si="4">C40*D40</f>
        <v>0</v>
      </c>
      <c r="F40" s="54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</row>
    <row r="41" spans="1:20" ht="51" customHeight="1">
      <c r="A41" s="34" t="s">
        <v>68</v>
      </c>
      <c r="B41" s="56"/>
      <c r="C41" s="54">
        <f>COUNTA(B41)</f>
        <v>0</v>
      </c>
      <c r="D41" s="54">
        <f>Referências!$B$3</f>
        <v>2</v>
      </c>
      <c r="E41" s="54">
        <f t="shared" si="4"/>
        <v>0</v>
      </c>
      <c r="F41" s="54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</row>
    <row r="42" spans="1:20" ht="51" customHeight="1">
      <c r="A42" s="34" t="s">
        <v>69</v>
      </c>
      <c r="B42" s="56"/>
      <c r="C42" s="54">
        <f>COUNTA(B42)</f>
        <v>0</v>
      </c>
      <c r="D42" s="54">
        <f>Referências!$B$4</f>
        <v>3</v>
      </c>
      <c r="E42" s="54">
        <f t="shared" si="4"/>
        <v>0</v>
      </c>
      <c r="F42" s="54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</row>
    <row r="43" spans="1:20" ht="51" customHeight="1" thickBot="1">
      <c r="A43" s="34" t="s">
        <v>70</v>
      </c>
      <c r="B43" s="57"/>
      <c r="C43" s="54">
        <f>COUNTA(B43)</f>
        <v>0</v>
      </c>
      <c r="D43" s="54">
        <f>Referências!$B$5</f>
        <v>5</v>
      </c>
      <c r="E43" s="54">
        <f t="shared" si="4"/>
        <v>0</v>
      </c>
      <c r="F43" s="5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</row>
    <row r="44" spans="1:20" ht="14.25" customHeight="1">
      <c r="A44" s="53"/>
      <c r="B44" s="53"/>
      <c r="C44" s="54"/>
      <c r="D44" s="54"/>
      <c r="E44" s="54">
        <f>SUM(E40:E43)</f>
        <v>0</v>
      </c>
      <c r="F44" s="54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</row>
    <row r="45" spans="1:20" ht="18.75" customHeight="1">
      <c r="B45" s="4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</row>
    <row r="46" spans="1:20" ht="20.45" customHeight="1" thickBot="1">
      <c r="A46" s="46" t="str">
        <f>Agro!D8</f>
        <v>Tomada de decisão</v>
      </c>
      <c r="B46" s="72" t="s">
        <v>23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</row>
    <row r="47" spans="1:20" ht="43.5" customHeight="1" thickBot="1">
      <c r="A47" s="59" t="s">
        <v>71</v>
      </c>
      <c r="B47" s="92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</row>
    <row r="48" spans="1:20" ht="21" customHeight="1" thickBot="1">
      <c r="A48" s="60" t="s">
        <v>25</v>
      </c>
      <c r="B48" s="92"/>
      <c r="C48" s="58">
        <f>VLOOKUP(A46,Agro!$D$3:$E$12,2,FALSE)</f>
        <v>0.15</v>
      </c>
      <c r="D48" s="54">
        <f>COUNTA(A49:A52)</f>
        <v>4</v>
      </c>
      <c r="E48" s="54">
        <f>C48*E53</f>
        <v>0</v>
      </c>
      <c r="F48" s="9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</row>
    <row r="49" spans="1:20" ht="47.45" customHeight="1">
      <c r="A49" s="34" t="s">
        <v>72</v>
      </c>
      <c r="B49" s="55"/>
      <c r="C49" s="54">
        <f>COUNTA(B49)</f>
        <v>0</v>
      </c>
      <c r="D49" s="54">
        <f>Referências!$B$2</f>
        <v>1</v>
      </c>
      <c r="E49" s="54">
        <f t="shared" ref="E49:E52" si="5">C49*D49</f>
        <v>0</v>
      </c>
      <c r="F49" s="54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</row>
    <row r="50" spans="1:20" ht="51" customHeight="1">
      <c r="A50" s="34" t="s">
        <v>73</v>
      </c>
      <c r="B50" s="56"/>
      <c r="C50" s="54">
        <f>COUNTA(B50)</f>
        <v>0</v>
      </c>
      <c r="D50" s="54">
        <f>Referências!$B$3</f>
        <v>2</v>
      </c>
      <c r="E50" s="54">
        <f t="shared" si="5"/>
        <v>0</v>
      </c>
      <c r="F50" s="54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</row>
    <row r="51" spans="1:20" ht="51" customHeight="1">
      <c r="A51" s="34" t="s">
        <v>74</v>
      </c>
      <c r="B51" s="56"/>
      <c r="C51" s="54">
        <f>COUNTA(B51)</f>
        <v>0</v>
      </c>
      <c r="D51" s="54">
        <f>Referências!$B$4</f>
        <v>3</v>
      </c>
      <c r="E51" s="54">
        <f t="shared" si="5"/>
        <v>0</v>
      </c>
      <c r="F51" s="54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</row>
    <row r="52" spans="1:20" ht="51" customHeight="1" thickBot="1">
      <c r="A52" s="34" t="s">
        <v>75</v>
      </c>
      <c r="B52" s="57"/>
      <c r="C52" s="54">
        <f>COUNTA(B52)</f>
        <v>0</v>
      </c>
      <c r="D52" s="54">
        <f>Referências!$B$5</f>
        <v>5</v>
      </c>
      <c r="E52" s="54">
        <f t="shared" si="5"/>
        <v>0</v>
      </c>
      <c r="F52" s="54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</row>
    <row r="53" spans="1:20" ht="14.25" customHeight="1">
      <c r="A53" s="53"/>
      <c r="B53" s="53"/>
      <c r="C53" s="54"/>
      <c r="D53" s="54"/>
      <c r="E53" s="54">
        <f>SUM(E49:E52)</f>
        <v>0</v>
      </c>
      <c r="F53" s="54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</row>
    <row r="54" spans="1:20" ht="14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</row>
    <row r="55" spans="1:20" ht="14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</row>
    <row r="56" spans="1:20" ht="14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</row>
    <row r="57" spans="1:20" ht="14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</row>
    <row r="58" spans="1:20" ht="14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</row>
    <row r="59" spans="1:20" ht="14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</row>
    <row r="60" spans="1:20" ht="14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</row>
    <row r="61" spans="1:20" ht="14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</row>
    <row r="62" spans="1:20" ht="14.25" customHeight="1"/>
    <row r="63" spans="1:20" ht="14.25" customHeight="1"/>
    <row r="64" spans="1:2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</sheetData>
  <mergeCells count="10">
    <mergeCell ref="B29:B31"/>
    <mergeCell ref="B37:B39"/>
    <mergeCell ref="A1:B1"/>
    <mergeCell ref="A2:B4"/>
    <mergeCell ref="B46:B48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6DB0-A629-4C17-9CF5-725DFC8C15B3}">
  <sheetPr>
    <pageSetUpPr fitToPage="1"/>
  </sheetPr>
  <dimension ref="A1:Z950"/>
  <sheetViews>
    <sheetView showGridLines="0" workbookViewId="0">
      <pane ySplit="4" topLeftCell="A5" activePane="bottomLeft" state="frozen"/>
      <selection pane="bottomLeft" activeCell="A38" sqref="A38:A43"/>
    </sheetView>
  </sheetViews>
  <sheetFormatPr defaultColWidth="14.42578125" defaultRowHeight="15" customHeight="1" outlineLevelCol="1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47" customWidth="1" outlineLevel="1"/>
    <col min="7" max="7" width="8.85546875" customWidth="1"/>
    <col min="8" max="26" width="8.7109375" customWidth="1"/>
  </cols>
  <sheetData>
    <row r="1" spans="1:26" ht="33" customHeight="1">
      <c r="A1" s="70"/>
      <c r="B1" s="90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6" ht="24.75" customHeight="1">
      <c r="A2" s="75" t="s">
        <v>76</v>
      </c>
      <c r="B2" s="76"/>
      <c r="C2" s="51"/>
      <c r="D2" s="3" t="s">
        <v>20</v>
      </c>
      <c r="E2" s="52" t="s">
        <v>21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1"/>
      <c r="V2" s="1"/>
      <c r="W2" s="1"/>
      <c r="X2" s="1"/>
      <c r="Y2" s="1"/>
      <c r="Z2" s="1"/>
    </row>
    <row r="3" spans="1:26" ht="24.75" customHeight="1">
      <c r="A3" s="77"/>
      <c r="B3" s="78"/>
      <c r="C3" s="51"/>
      <c r="D3" s="4">
        <f>SUM(C7,C15,C23,C31,C39)</f>
        <v>1</v>
      </c>
      <c r="E3" s="5">
        <f>SUM(E7,E15,E23,E31,E39)</f>
        <v>0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1"/>
      <c r="V3" s="1"/>
      <c r="W3" s="1"/>
      <c r="X3" s="1"/>
      <c r="Y3" s="1"/>
      <c r="Z3" s="1"/>
    </row>
    <row r="4" spans="1:26" ht="24.75" customHeight="1">
      <c r="A4" s="77"/>
      <c r="B4" s="78"/>
      <c r="C4" s="51"/>
      <c r="D4" s="71" t="s">
        <v>22</v>
      </c>
      <c r="E4" s="9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1"/>
      <c r="V4" s="1"/>
      <c r="W4" s="1"/>
      <c r="X4" s="1"/>
      <c r="Y4" s="1"/>
      <c r="Z4" s="1"/>
    </row>
    <row r="5" spans="1:26" ht="18.75" customHeight="1" thickBot="1">
      <c r="A5" s="46" t="str">
        <f>Agro!F3</f>
        <v>Gestão de Pessoas</v>
      </c>
      <c r="B5" s="72" t="s">
        <v>23</v>
      </c>
      <c r="C5" s="53"/>
      <c r="D5" s="73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7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1:26" ht="33.6" customHeight="1" thickBot="1">
      <c r="A6" s="69" t="s">
        <v>61</v>
      </c>
      <c r="B6" s="9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6" ht="19.899999999999999" customHeight="1" thickBot="1">
      <c r="A7" s="60" t="s">
        <v>25</v>
      </c>
      <c r="B7" s="92"/>
      <c r="C7" s="58">
        <f>VLOOKUP(A5,Agro!$F$3:$G$12,2,FALSE)</f>
        <v>0.15</v>
      </c>
      <c r="D7" s="54"/>
      <c r="E7" s="54">
        <f>C7*E12</f>
        <v>0</v>
      </c>
      <c r="F7" s="54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6" ht="51" customHeight="1">
      <c r="A8" s="34" t="s">
        <v>62</v>
      </c>
      <c r="B8" s="55"/>
      <c r="C8" s="54">
        <f>COUNTA(B8)</f>
        <v>0</v>
      </c>
      <c r="D8" s="54">
        <f>Referências!$B$2</f>
        <v>1</v>
      </c>
      <c r="E8" s="54">
        <f t="shared" ref="E8:E11" si="0">C8*D8</f>
        <v>0</v>
      </c>
      <c r="F8" s="54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</row>
    <row r="9" spans="1:26" ht="51" customHeight="1">
      <c r="A9" s="34" t="s">
        <v>63</v>
      </c>
      <c r="B9" s="56"/>
      <c r="C9" s="54">
        <f>COUNTA(B9)</f>
        <v>0</v>
      </c>
      <c r="D9" s="54">
        <f>Referências!$B$3</f>
        <v>2</v>
      </c>
      <c r="E9" s="54">
        <f t="shared" si="0"/>
        <v>0</v>
      </c>
      <c r="F9" s="54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 spans="1:26" ht="51" customHeight="1">
      <c r="A10" s="34" t="s">
        <v>64</v>
      </c>
      <c r="B10" s="56"/>
      <c r="C10" s="54">
        <f>COUNTA(B10)</f>
        <v>0</v>
      </c>
      <c r="D10" s="54">
        <f>Referências!$B$4</f>
        <v>3</v>
      </c>
      <c r="E10" s="54">
        <f t="shared" si="0"/>
        <v>0</v>
      </c>
      <c r="F10" s="54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1:26" ht="51" customHeight="1" thickBot="1">
      <c r="A11" s="34" t="s">
        <v>65</v>
      </c>
      <c r="B11" s="57"/>
      <c r="C11" s="54">
        <f>COUNTA(B11)</f>
        <v>0</v>
      </c>
      <c r="D11" s="54">
        <f>Referências!$B$5</f>
        <v>5</v>
      </c>
      <c r="E11" s="54">
        <f t="shared" si="0"/>
        <v>0</v>
      </c>
      <c r="F11" s="54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1:26" ht="14.25" customHeight="1">
      <c r="A12" s="53"/>
      <c r="B12" s="53"/>
      <c r="C12" s="54"/>
      <c r="D12" s="54"/>
      <c r="E12" s="54">
        <f>SUM(E8:E11)</f>
        <v>0</v>
      </c>
      <c r="F12" s="54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</row>
    <row r="13" spans="1:26" ht="18.75" customHeight="1" thickBot="1">
      <c r="A13" s="46" t="str">
        <f>Agro!F4</f>
        <v>Gestão de recursos</v>
      </c>
      <c r="B13" s="72" t="s">
        <v>23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</row>
    <row r="14" spans="1:26" ht="40.9" customHeight="1" thickBot="1">
      <c r="A14" s="59" t="s">
        <v>77</v>
      </c>
      <c r="B14" s="92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</row>
    <row r="15" spans="1:26" ht="23.45" customHeight="1" thickBot="1">
      <c r="A15" s="60" t="s">
        <v>25</v>
      </c>
      <c r="B15" s="92"/>
      <c r="C15" s="58">
        <f>VLOOKUP(A13,Agro!$F$3:$G$12,2,FALSE)</f>
        <v>0.25</v>
      </c>
      <c r="D15" s="54">
        <f>COUNTA(A17:A19)</f>
        <v>3</v>
      </c>
      <c r="E15" s="54">
        <f>C15*E20</f>
        <v>0</v>
      </c>
      <c r="F15" s="9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</row>
    <row r="16" spans="1:26" ht="51" customHeight="1">
      <c r="A16" s="34" t="s">
        <v>78</v>
      </c>
      <c r="B16" s="55"/>
      <c r="C16" s="54">
        <f>COUNTA(B16)</f>
        <v>0</v>
      </c>
      <c r="D16" s="54">
        <f>Referências!$B$2</f>
        <v>1</v>
      </c>
      <c r="E16" s="54">
        <f t="shared" ref="E16:E19" si="1">C16*D16</f>
        <v>0</v>
      </c>
      <c r="F16" s="54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</row>
    <row r="17" spans="1:20" ht="51" customHeight="1">
      <c r="A17" s="34" t="s">
        <v>79</v>
      </c>
      <c r="B17" s="56"/>
      <c r="C17" s="54">
        <f>COUNTA(B17)</f>
        <v>0</v>
      </c>
      <c r="D17" s="54">
        <f>Referências!$B$3</f>
        <v>2</v>
      </c>
      <c r="E17" s="54">
        <f t="shared" si="1"/>
        <v>0</v>
      </c>
      <c r="F17" s="54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</row>
    <row r="18" spans="1:20" ht="51" customHeight="1">
      <c r="A18" s="34" t="s">
        <v>80</v>
      </c>
      <c r="B18" s="56"/>
      <c r="C18" s="54">
        <f>COUNTA(B18)</f>
        <v>0</v>
      </c>
      <c r="D18" s="54">
        <f>Referências!$B$4</f>
        <v>3</v>
      </c>
      <c r="E18" s="54">
        <f t="shared" si="1"/>
        <v>0</v>
      </c>
      <c r="F18" s="54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</row>
    <row r="19" spans="1:20" ht="51" customHeight="1" thickBot="1">
      <c r="A19" s="34" t="s">
        <v>81</v>
      </c>
      <c r="B19" s="57"/>
      <c r="C19" s="54">
        <f>COUNTA(B19)</f>
        <v>0</v>
      </c>
      <c r="D19" s="54">
        <f>Referências!$B$5</f>
        <v>5</v>
      </c>
      <c r="E19" s="54">
        <f t="shared" si="1"/>
        <v>0</v>
      </c>
      <c r="F19" s="54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</row>
    <row r="20" spans="1:20" ht="14.25" customHeight="1">
      <c r="A20" s="53"/>
      <c r="B20" s="53"/>
      <c r="C20" s="54"/>
      <c r="D20" s="54"/>
      <c r="E20" s="54">
        <f>SUM(E16:E19)</f>
        <v>0</v>
      </c>
      <c r="F20" s="54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</row>
    <row r="21" spans="1:20" ht="18.75" customHeight="1" thickBot="1">
      <c r="A21" s="46" t="str">
        <f>Agro!F5</f>
        <v>Orientação para resultados</v>
      </c>
      <c r="B21" s="72" t="s">
        <v>23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1:20" ht="43.5" customHeight="1" thickBot="1">
      <c r="A22" s="69" t="s">
        <v>82</v>
      </c>
      <c r="B22" s="92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</row>
    <row r="23" spans="1:20" ht="19.149999999999999" customHeight="1" thickBot="1">
      <c r="A23" s="60" t="s">
        <v>25</v>
      </c>
      <c r="B23" s="92"/>
      <c r="C23" s="58">
        <f>VLOOKUP(A21,Agro!$F$3:$G$12,2,FALSE)</f>
        <v>0.15</v>
      </c>
      <c r="D23" s="54">
        <f>COUNTA(A24:A27)</f>
        <v>4</v>
      </c>
      <c r="E23" s="54">
        <f>C23*E28</f>
        <v>0</v>
      </c>
      <c r="F23" s="9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</row>
    <row r="24" spans="1:20" ht="51" customHeight="1">
      <c r="A24" s="34" t="s">
        <v>83</v>
      </c>
      <c r="B24" s="55"/>
      <c r="C24" s="54">
        <f>COUNTA(B24)</f>
        <v>0</v>
      </c>
      <c r="D24" s="54">
        <f>Referências!$B$2</f>
        <v>1</v>
      </c>
      <c r="E24" s="54">
        <f t="shared" ref="E24:E27" si="2">C24*D24</f>
        <v>0</v>
      </c>
      <c r="F24" s="54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1:20" ht="51" customHeight="1">
      <c r="A25" s="34" t="s">
        <v>84</v>
      </c>
      <c r="B25" s="56"/>
      <c r="C25" s="54">
        <f>COUNTA(B25)</f>
        <v>0</v>
      </c>
      <c r="D25" s="54">
        <f>Referências!$B$3</f>
        <v>2</v>
      </c>
      <c r="E25" s="54">
        <f t="shared" si="2"/>
        <v>0</v>
      </c>
      <c r="F25" s="54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</row>
    <row r="26" spans="1:20" ht="51" customHeight="1">
      <c r="A26" s="34" t="s">
        <v>85</v>
      </c>
      <c r="B26" s="56"/>
      <c r="C26" s="54">
        <f>COUNTA(B26)</f>
        <v>0</v>
      </c>
      <c r="D26" s="54">
        <f>Referências!$B$4</f>
        <v>3</v>
      </c>
      <c r="E26" s="54">
        <f t="shared" si="2"/>
        <v>0</v>
      </c>
      <c r="F26" s="54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</row>
    <row r="27" spans="1:20" ht="51" customHeight="1" thickBot="1">
      <c r="A27" s="34" t="s">
        <v>86</v>
      </c>
      <c r="B27" s="57"/>
      <c r="C27" s="54">
        <f>COUNTA(B27)</f>
        <v>0</v>
      </c>
      <c r="D27" s="54">
        <f>Referências!$B$5</f>
        <v>5</v>
      </c>
      <c r="E27" s="54">
        <f t="shared" si="2"/>
        <v>0</v>
      </c>
      <c r="F27" s="54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</row>
    <row r="28" spans="1:20" ht="14.25" customHeight="1">
      <c r="A28" s="53"/>
      <c r="B28" s="53"/>
      <c r="C28" s="54"/>
      <c r="D28" s="54"/>
      <c r="E28" s="54">
        <f>SUM(E24:E27)</f>
        <v>0</v>
      </c>
      <c r="F28" s="54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</row>
    <row r="29" spans="1:20" ht="18.75" customHeight="1" thickBot="1">
      <c r="A29" s="46" t="str">
        <f>Agro!F6</f>
        <v>Tomada de decisão</v>
      </c>
      <c r="B29" s="72" t="s">
        <v>23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</row>
    <row r="30" spans="1:20" ht="43.5" customHeight="1" thickBot="1">
      <c r="A30" s="59" t="s">
        <v>87</v>
      </c>
      <c r="B30" s="92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</row>
    <row r="31" spans="1:20" ht="20.45" customHeight="1" thickBot="1">
      <c r="A31" s="60" t="s">
        <v>25</v>
      </c>
      <c r="B31" s="92"/>
      <c r="C31" s="58">
        <f>VLOOKUP(A29,Agro!$F$3:$G$12,2,FALSE)</f>
        <v>0.25</v>
      </c>
      <c r="D31" s="54">
        <f>COUNTA(A32:A35)</f>
        <v>4</v>
      </c>
      <c r="E31" s="54">
        <f>C31*E36</f>
        <v>0</v>
      </c>
      <c r="F31" s="9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</row>
    <row r="32" spans="1:20" ht="51" customHeight="1">
      <c r="A32" s="34" t="s">
        <v>72</v>
      </c>
      <c r="B32" s="55"/>
      <c r="C32" s="54">
        <f>COUNTA(B32)</f>
        <v>0</v>
      </c>
      <c r="D32" s="54">
        <f>Referências!$B$2</f>
        <v>1</v>
      </c>
      <c r="E32" s="54">
        <f t="shared" ref="E32:E35" si="3">C32*D32</f>
        <v>0</v>
      </c>
      <c r="F32" s="54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</row>
    <row r="33" spans="1:20" ht="51" customHeight="1">
      <c r="A33" s="34" t="s">
        <v>73</v>
      </c>
      <c r="B33" s="56"/>
      <c r="C33" s="54">
        <f>COUNTA(B33)</f>
        <v>0</v>
      </c>
      <c r="D33" s="54">
        <f>Referências!$B$3</f>
        <v>2</v>
      </c>
      <c r="E33" s="54">
        <f t="shared" si="3"/>
        <v>0</v>
      </c>
      <c r="F33" s="54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</row>
    <row r="34" spans="1:20" ht="51" customHeight="1">
      <c r="A34" s="34" t="s">
        <v>88</v>
      </c>
      <c r="B34" s="56"/>
      <c r="C34" s="54">
        <f>COUNTA(B34)</f>
        <v>0</v>
      </c>
      <c r="D34" s="54">
        <f>Referências!$B$4</f>
        <v>3</v>
      </c>
      <c r="E34" s="54">
        <f t="shared" si="3"/>
        <v>0</v>
      </c>
      <c r="F34" s="54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</row>
    <row r="35" spans="1:20" ht="51" customHeight="1" thickBot="1">
      <c r="A35" s="34" t="s">
        <v>89</v>
      </c>
      <c r="B35" s="57"/>
      <c r="C35" s="54">
        <f>COUNTA(B35)</f>
        <v>0</v>
      </c>
      <c r="D35" s="54">
        <f>Referências!$B$5</f>
        <v>5</v>
      </c>
      <c r="E35" s="54">
        <f t="shared" si="3"/>
        <v>0</v>
      </c>
      <c r="F35" s="54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</row>
    <row r="36" spans="1:20" ht="14.25" customHeight="1">
      <c r="A36" s="53"/>
      <c r="B36" s="53"/>
      <c r="C36" s="54"/>
      <c r="D36" s="54"/>
      <c r="E36" s="54">
        <f>SUM(E32:E35)</f>
        <v>0</v>
      </c>
      <c r="F36" s="54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</row>
    <row r="37" spans="1:20" ht="20.45" customHeight="1" thickBot="1">
      <c r="A37" s="46" t="str">
        <f>Agro!F7</f>
        <v>Visão estratégica</v>
      </c>
      <c r="B37" s="72" t="s">
        <v>23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</row>
    <row r="38" spans="1:20" ht="43.5" customHeight="1" thickBot="1">
      <c r="A38" s="59" t="s">
        <v>90</v>
      </c>
      <c r="B38" s="92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</row>
    <row r="39" spans="1:20" ht="21" customHeight="1" thickBot="1">
      <c r="A39" s="60" t="s">
        <v>25</v>
      </c>
      <c r="B39" s="92"/>
      <c r="C39" s="58">
        <f>VLOOKUP(A37,Agro!$F$3:$G$12,2,FALSE)</f>
        <v>0.2</v>
      </c>
      <c r="D39" s="54">
        <f>COUNTA(A40:A43)</f>
        <v>4</v>
      </c>
      <c r="E39" s="54">
        <f>C39*E44</f>
        <v>0</v>
      </c>
      <c r="F39" s="9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</row>
    <row r="40" spans="1:20" ht="47.45" customHeight="1">
      <c r="A40" s="34" t="s">
        <v>91</v>
      </c>
      <c r="B40" s="55"/>
      <c r="C40" s="54">
        <f>COUNTA(B40)</f>
        <v>0</v>
      </c>
      <c r="D40" s="54">
        <f>Referências!$B$2</f>
        <v>1</v>
      </c>
      <c r="E40" s="54">
        <f t="shared" ref="E40:E43" si="4">C40*D40</f>
        <v>0</v>
      </c>
      <c r="F40" s="54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</row>
    <row r="41" spans="1:20" ht="51" customHeight="1">
      <c r="A41" s="34" t="s">
        <v>92</v>
      </c>
      <c r="B41" s="56"/>
      <c r="C41" s="54">
        <f>COUNTA(B41)</f>
        <v>0</v>
      </c>
      <c r="D41" s="54">
        <f>Referências!$B$3</f>
        <v>2</v>
      </c>
      <c r="E41" s="54">
        <f t="shared" si="4"/>
        <v>0</v>
      </c>
      <c r="F41" s="54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</row>
    <row r="42" spans="1:20" ht="51" customHeight="1">
      <c r="A42" s="34" t="s">
        <v>93</v>
      </c>
      <c r="B42" s="56"/>
      <c r="C42" s="54">
        <f>COUNTA(B42)</f>
        <v>0</v>
      </c>
      <c r="D42" s="54">
        <f>Referências!$B$4</f>
        <v>3</v>
      </c>
      <c r="E42" s="54">
        <f t="shared" si="4"/>
        <v>0</v>
      </c>
      <c r="F42" s="54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</row>
    <row r="43" spans="1:20" ht="51" customHeight="1" thickBot="1">
      <c r="A43" s="34" t="s">
        <v>94</v>
      </c>
      <c r="B43" s="57"/>
      <c r="C43" s="54">
        <f>COUNTA(B43)</f>
        <v>0</v>
      </c>
      <c r="D43" s="54">
        <f>Referências!$B$5</f>
        <v>5</v>
      </c>
      <c r="E43" s="54">
        <f t="shared" si="4"/>
        <v>0</v>
      </c>
      <c r="F43" s="54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</row>
    <row r="44" spans="1:20" ht="14.25" customHeight="1">
      <c r="A44" s="53"/>
      <c r="B44" s="53"/>
      <c r="C44" s="54"/>
      <c r="D44" s="54"/>
      <c r="E44" s="54">
        <f>SUM(E40:E43)</f>
        <v>0</v>
      </c>
      <c r="F44" s="54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</row>
    <row r="45" spans="1:20" ht="14.25" customHeight="1"/>
    <row r="46" spans="1:20" ht="14.25" customHeight="1"/>
    <row r="47" spans="1:20" ht="14.25" customHeight="1"/>
    <row r="48" spans="1:2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mergeCells count="9">
    <mergeCell ref="B29:B31"/>
    <mergeCell ref="B37:B39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Z1000"/>
  <sheetViews>
    <sheetView topLeftCell="A6" workbookViewId="0">
      <selection activeCell="A12" sqref="A12"/>
    </sheetView>
  </sheetViews>
  <sheetFormatPr defaultColWidth="14.42578125" defaultRowHeight="15" customHeight="1"/>
  <cols>
    <col min="1" max="1" width="25.7109375" customWidth="1"/>
    <col min="2" max="2" width="11.7109375" customWidth="1"/>
    <col min="3" max="3" width="25.7109375" customWidth="1"/>
    <col min="4" max="4" width="10.7109375" customWidth="1"/>
    <col min="5" max="5" width="9.28515625" customWidth="1"/>
    <col min="6" max="51" width="2.28515625" customWidth="1"/>
    <col min="52" max="52" width="5" customWidth="1"/>
    <col min="53" max="54" width="9.28515625" customWidth="1"/>
    <col min="55" max="98" width="2.28515625" customWidth="1"/>
    <col min="99" max="99" width="9.28515625" customWidth="1"/>
    <col min="100" max="104" width="2.28515625" customWidth="1"/>
  </cols>
  <sheetData>
    <row r="1" spans="1:104" ht="24.75" customHeight="1">
      <c r="A1" s="6" t="s">
        <v>23</v>
      </c>
      <c r="B1" s="7" t="s">
        <v>21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1"/>
      <c r="CV1" s="1"/>
      <c r="CW1" s="1"/>
      <c r="CX1" s="1"/>
      <c r="CY1" s="1"/>
      <c r="CZ1" s="1"/>
    </row>
    <row r="2" spans="1:104" ht="24.75" customHeight="1">
      <c r="A2" s="8" t="s">
        <v>95</v>
      </c>
      <c r="B2" s="9">
        <v>1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1"/>
      <c r="CV2" s="1"/>
      <c r="CW2" s="1"/>
      <c r="CX2" s="1"/>
      <c r="CY2" s="1"/>
      <c r="CZ2" s="1"/>
    </row>
    <row r="3" spans="1:104" ht="24.75" customHeight="1">
      <c r="A3" s="8" t="s">
        <v>96</v>
      </c>
      <c r="B3" s="9">
        <v>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1"/>
      <c r="CV3" s="1"/>
      <c r="CW3" s="1"/>
      <c r="CX3" s="1"/>
      <c r="CY3" s="1"/>
      <c r="CZ3" s="1"/>
    </row>
    <row r="4" spans="1:104" ht="24.75" customHeight="1">
      <c r="A4" s="8" t="s">
        <v>97</v>
      </c>
      <c r="B4" s="9">
        <v>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1"/>
      <c r="CV4" s="1"/>
      <c r="CW4" s="1"/>
      <c r="CX4" s="1"/>
      <c r="CY4" s="1"/>
      <c r="CZ4" s="1"/>
    </row>
    <row r="5" spans="1:104" ht="24.75" customHeight="1">
      <c r="A5" s="10" t="s">
        <v>98</v>
      </c>
      <c r="B5" s="11">
        <v>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</row>
    <row r="6" spans="1:104" ht="24.75" customHeight="1">
      <c r="A6" s="51"/>
      <c r="B6" s="9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</row>
    <row r="7" spans="1:104" ht="34.5" customHeight="1">
      <c r="A7" s="95" t="s">
        <v>99</v>
      </c>
      <c r="B7" s="51"/>
      <c r="C7" s="51"/>
      <c r="D7" s="51"/>
      <c r="E7" s="51"/>
      <c r="F7" s="51"/>
      <c r="G7" s="96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96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</row>
    <row r="8" spans="1:104" ht="34.5" customHeight="1">
      <c r="A8" s="83" t="s">
        <v>100</v>
      </c>
      <c r="B8" s="97"/>
      <c r="C8" s="12" t="s">
        <v>22</v>
      </c>
      <c r="D8" s="94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</row>
    <row r="9" spans="1:104" ht="34.5" customHeight="1">
      <c r="A9" s="13" t="s">
        <v>101</v>
      </c>
      <c r="B9" s="14">
        <v>1.6</v>
      </c>
      <c r="C9" s="15" t="s">
        <v>95</v>
      </c>
      <c r="D9" s="51"/>
      <c r="E9" s="51"/>
      <c r="F9" s="51"/>
      <c r="G9" s="96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98"/>
      <c r="AR9" s="98"/>
      <c r="AS9" s="98"/>
      <c r="AT9" s="98"/>
      <c r="AU9" s="51"/>
      <c r="AV9" s="51"/>
      <c r="AW9" s="51"/>
      <c r="AX9" s="51"/>
      <c r="AY9" s="51"/>
      <c r="AZ9" s="51"/>
      <c r="BA9" s="51"/>
      <c r="BB9" s="51"/>
      <c r="BC9" s="51"/>
      <c r="BD9" s="96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98"/>
      <c r="CO9" s="98"/>
      <c r="CP9" s="98"/>
      <c r="CQ9" s="98"/>
      <c r="CR9" s="51"/>
      <c r="CS9" s="51"/>
      <c r="CT9" s="51"/>
      <c r="CU9" s="51"/>
      <c r="CV9" s="98"/>
      <c r="CW9" s="98"/>
      <c r="CX9" s="98"/>
      <c r="CY9" s="98"/>
      <c r="CZ9" s="51"/>
    </row>
    <row r="10" spans="1:104" ht="34.5" customHeight="1">
      <c r="A10" s="16" t="s">
        <v>101</v>
      </c>
      <c r="B10" s="17">
        <v>2.6</v>
      </c>
      <c r="C10" s="18" t="s">
        <v>96</v>
      </c>
      <c r="D10" s="51"/>
      <c r="E10" s="51"/>
      <c r="F10" s="51"/>
      <c r="G10" s="96"/>
      <c r="H10" s="84" t="s">
        <v>95</v>
      </c>
      <c r="I10" s="99"/>
      <c r="J10" s="99"/>
      <c r="K10" s="99"/>
      <c r="L10" s="99"/>
      <c r="M10" s="100"/>
      <c r="N10" s="85" t="s">
        <v>96</v>
      </c>
      <c r="O10" s="99"/>
      <c r="P10" s="99"/>
      <c r="Q10" s="99"/>
      <c r="R10" s="99"/>
      <c r="S10" s="99"/>
      <c r="T10" s="99"/>
      <c r="U10" s="99"/>
      <c r="V10" s="99"/>
      <c r="W10" s="100"/>
      <c r="X10" s="86" t="s">
        <v>97</v>
      </c>
      <c r="Y10" s="99"/>
      <c r="Z10" s="99"/>
      <c r="AA10" s="99"/>
      <c r="AB10" s="99"/>
      <c r="AC10" s="99"/>
      <c r="AD10" s="99"/>
      <c r="AE10" s="99"/>
      <c r="AF10" s="99"/>
      <c r="AG10" s="100"/>
      <c r="AH10" s="87" t="s">
        <v>98</v>
      </c>
      <c r="AI10" s="99"/>
      <c r="AJ10" s="99"/>
      <c r="AK10" s="99"/>
      <c r="AL10" s="99"/>
      <c r="AM10" s="99"/>
      <c r="AN10" s="99"/>
      <c r="AO10" s="99"/>
      <c r="AP10" s="100"/>
      <c r="AQ10" s="88" t="s">
        <v>102</v>
      </c>
      <c r="AR10" s="99"/>
      <c r="AS10" s="99"/>
      <c r="AT10" s="99"/>
      <c r="AU10" s="100"/>
      <c r="AV10" s="51"/>
      <c r="AW10" s="51"/>
      <c r="AX10" s="51"/>
      <c r="AY10" s="51"/>
      <c r="AZ10" s="51"/>
      <c r="BA10" s="51"/>
      <c r="BB10" s="51"/>
      <c r="BC10" s="51"/>
      <c r="BD10" s="96"/>
      <c r="BE10" s="101"/>
      <c r="BF10" s="102"/>
      <c r="BG10" s="102"/>
      <c r="BH10" s="102"/>
      <c r="BI10" s="102"/>
      <c r="BJ10" s="102"/>
      <c r="BK10" s="102"/>
      <c r="BL10" s="102"/>
      <c r="BM10" s="102"/>
      <c r="BN10" s="102"/>
      <c r="BO10" s="101"/>
      <c r="BP10" s="102"/>
      <c r="BQ10" s="102"/>
      <c r="BR10" s="102"/>
      <c r="BS10" s="102"/>
      <c r="BT10" s="102"/>
      <c r="BU10" s="102"/>
      <c r="BV10" s="102"/>
      <c r="BW10" s="101"/>
      <c r="BX10" s="102"/>
      <c r="BY10" s="102"/>
      <c r="BZ10" s="102"/>
      <c r="CA10" s="102"/>
      <c r="CB10" s="102"/>
      <c r="CC10" s="102"/>
      <c r="CD10" s="101"/>
      <c r="CE10" s="102"/>
      <c r="CF10" s="102"/>
      <c r="CG10" s="102"/>
      <c r="CH10" s="102"/>
      <c r="CI10" s="54"/>
      <c r="CJ10" s="54"/>
      <c r="CK10" s="54"/>
      <c r="CL10" s="103"/>
      <c r="CM10" s="103"/>
      <c r="CN10" s="104" t="s">
        <v>102</v>
      </c>
      <c r="CO10" s="104"/>
      <c r="CP10" s="104"/>
      <c r="CQ10" s="104"/>
      <c r="CR10" s="104"/>
      <c r="CS10" s="51"/>
      <c r="CT10" s="51"/>
      <c r="CU10" s="51"/>
      <c r="CV10" s="105"/>
      <c r="CW10" s="106"/>
      <c r="CX10" s="106"/>
      <c r="CY10" s="106"/>
      <c r="CZ10" s="106"/>
    </row>
    <row r="11" spans="1:104" ht="34.5" customHeight="1">
      <c r="A11" s="19" t="s">
        <v>101</v>
      </c>
      <c r="B11" s="20">
        <v>3.6</v>
      </c>
      <c r="C11" s="21" t="s">
        <v>97</v>
      </c>
      <c r="D11" s="51"/>
      <c r="E11" s="51"/>
      <c r="F11" s="51"/>
      <c r="G11" s="96"/>
      <c r="H11" s="82" t="s">
        <v>103</v>
      </c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100"/>
      <c r="X11" s="82" t="s">
        <v>104</v>
      </c>
      <c r="Y11" s="99"/>
      <c r="Z11" s="99"/>
      <c r="AA11" s="99"/>
      <c r="AB11" s="99"/>
      <c r="AC11" s="99"/>
      <c r="AD11" s="99"/>
      <c r="AE11" s="99"/>
      <c r="AF11" s="99"/>
      <c r="AG11" s="100"/>
      <c r="AH11" s="82" t="s">
        <v>105</v>
      </c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100"/>
      <c r="AV11" s="51"/>
      <c r="AW11" s="51"/>
      <c r="AX11" s="51"/>
      <c r="AY11" s="51"/>
      <c r="AZ11" s="51"/>
      <c r="BA11" s="51"/>
      <c r="BB11" s="51"/>
      <c r="BC11" s="51"/>
      <c r="BD11" s="96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</row>
    <row r="12" spans="1:104" ht="34.5" customHeight="1">
      <c r="A12" s="19" t="s">
        <v>101</v>
      </c>
      <c r="B12" s="22">
        <v>4.5</v>
      </c>
      <c r="C12" s="23" t="s">
        <v>98</v>
      </c>
      <c r="D12" s="51"/>
      <c r="E12" s="51"/>
      <c r="F12" s="51"/>
      <c r="G12" s="96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98"/>
      <c r="AR12" s="98"/>
      <c r="AS12" s="98"/>
      <c r="AT12" s="98"/>
      <c r="AU12" s="51"/>
      <c r="AV12" s="51"/>
      <c r="AW12" s="51"/>
      <c r="AX12" s="51"/>
      <c r="AY12" s="51"/>
      <c r="AZ12" s="51"/>
      <c r="BA12" s="51"/>
      <c r="BB12" s="51"/>
      <c r="BC12" s="51"/>
      <c r="BD12" s="96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98"/>
      <c r="CO12" s="98"/>
      <c r="CP12" s="98"/>
      <c r="CQ12" s="98"/>
      <c r="CR12" s="51"/>
      <c r="CS12" s="51"/>
      <c r="CT12" s="51"/>
      <c r="CU12" s="51"/>
      <c r="CV12" s="98"/>
      <c r="CW12" s="98"/>
      <c r="CX12" s="98"/>
      <c r="CY12" s="98"/>
      <c r="CZ12" s="51"/>
    </row>
    <row r="13" spans="1:104" ht="34.5" customHeight="1">
      <c r="A13" s="24" t="s">
        <v>106</v>
      </c>
      <c r="B13" s="25">
        <f>B12</f>
        <v>4.5</v>
      </c>
      <c r="C13" s="26" t="s">
        <v>102</v>
      </c>
      <c r="D13" s="51"/>
      <c r="E13" s="51"/>
      <c r="F13" s="51"/>
      <c r="G13" s="96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98"/>
      <c r="AR13" s="98"/>
      <c r="AS13" s="98"/>
      <c r="AT13" s="98"/>
      <c r="AU13" s="51"/>
      <c r="AV13" s="51"/>
      <c r="AW13" s="51"/>
      <c r="AX13" s="51"/>
      <c r="AY13" s="51"/>
      <c r="AZ13" s="51"/>
      <c r="BA13" s="51"/>
      <c r="BB13" s="51"/>
      <c r="BC13" s="51"/>
      <c r="BD13" s="96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98"/>
      <c r="CO13" s="98"/>
      <c r="CP13" s="98"/>
      <c r="CQ13" s="98"/>
      <c r="CR13" s="51"/>
      <c r="CS13" s="51"/>
      <c r="CT13" s="51"/>
      <c r="CU13" s="51"/>
      <c r="CV13" s="51"/>
      <c r="CW13" s="51"/>
      <c r="CX13" s="51"/>
      <c r="CY13" s="51"/>
      <c r="CZ13" s="51"/>
    </row>
    <row r="14" spans="1:104" ht="34.5" customHeight="1">
      <c r="A14" s="51"/>
      <c r="B14" s="94"/>
      <c r="C14" s="51"/>
      <c r="D14" s="51"/>
      <c r="E14" s="51"/>
      <c r="F14" s="51"/>
      <c r="G14" s="96"/>
      <c r="H14" s="107"/>
      <c r="I14" s="102"/>
      <c r="J14" s="102"/>
      <c r="K14" s="102"/>
      <c r="L14" s="102"/>
      <c r="M14" s="102"/>
      <c r="N14" s="108"/>
      <c r="O14" s="102"/>
      <c r="P14" s="102"/>
      <c r="Q14" s="102"/>
      <c r="R14" s="102"/>
      <c r="S14" s="102"/>
      <c r="T14" s="102"/>
      <c r="U14" s="102"/>
      <c r="V14" s="102"/>
      <c r="W14" s="102"/>
      <c r="X14" s="109"/>
      <c r="Y14" s="102"/>
      <c r="Z14" s="102"/>
      <c r="AA14" s="102"/>
      <c r="AB14" s="102"/>
      <c r="AC14" s="102"/>
      <c r="AD14" s="102"/>
      <c r="AE14" s="102"/>
      <c r="AF14" s="102"/>
      <c r="AG14" s="107"/>
      <c r="AH14" s="102"/>
      <c r="AI14" s="102"/>
      <c r="AJ14" s="102"/>
      <c r="AK14" s="102"/>
      <c r="AL14" s="102"/>
      <c r="AM14" s="102"/>
      <c r="AN14" s="102"/>
      <c r="AO14" s="102"/>
      <c r="AP14" s="102"/>
      <c r="AQ14" s="110"/>
      <c r="AR14" s="102"/>
      <c r="AS14" s="102"/>
      <c r="AT14" s="102"/>
      <c r="AU14" s="102"/>
      <c r="AV14" s="51"/>
      <c r="AW14" s="51"/>
      <c r="AX14" s="51"/>
      <c r="AY14" s="51"/>
      <c r="AZ14" s="51"/>
      <c r="BA14" s="51"/>
      <c r="BB14" s="51"/>
      <c r="BC14" s="51"/>
      <c r="BD14" s="96"/>
      <c r="BE14" s="107"/>
      <c r="BF14" s="102"/>
      <c r="BG14" s="102"/>
      <c r="BH14" s="102"/>
      <c r="BI14" s="102"/>
      <c r="BJ14" s="102"/>
      <c r="BK14" s="108"/>
      <c r="BL14" s="102"/>
      <c r="BM14" s="102"/>
      <c r="BN14" s="102"/>
      <c r="BO14" s="102"/>
      <c r="BP14" s="102"/>
      <c r="BQ14" s="102"/>
      <c r="BR14" s="102"/>
      <c r="BS14" s="102"/>
      <c r="BT14" s="102"/>
      <c r="BU14" s="109"/>
      <c r="BV14" s="102"/>
      <c r="BW14" s="102"/>
      <c r="BX14" s="102"/>
      <c r="BY14" s="102"/>
      <c r="BZ14" s="102"/>
      <c r="CA14" s="102"/>
      <c r="CB14" s="102"/>
      <c r="CC14" s="102"/>
      <c r="CD14" s="107"/>
      <c r="CE14" s="102"/>
      <c r="CF14" s="102"/>
      <c r="CG14" s="102"/>
      <c r="CH14" s="102"/>
      <c r="CI14" s="102"/>
      <c r="CJ14" s="102"/>
      <c r="CK14" s="102"/>
      <c r="CL14" s="102"/>
      <c r="CM14" s="102"/>
      <c r="CN14" s="110"/>
      <c r="CO14" s="102"/>
      <c r="CP14" s="102"/>
      <c r="CQ14" s="102"/>
      <c r="CR14" s="102"/>
      <c r="CS14" s="51"/>
      <c r="CT14" s="51"/>
      <c r="CU14" s="51"/>
      <c r="CV14" s="51"/>
      <c r="CW14" s="51"/>
      <c r="CX14" s="51"/>
      <c r="CY14" s="51"/>
      <c r="CZ14" s="51"/>
    </row>
    <row r="15" spans="1:104" ht="34.5" customHeight="1">
      <c r="A15" s="51"/>
      <c r="B15" s="94"/>
      <c r="C15" s="51"/>
      <c r="D15" s="51"/>
      <c r="E15" s="51"/>
      <c r="F15" s="51"/>
      <c r="G15" s="96"/>
      <c r="H15" s="111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11"/>
      <c r="Y15" s="102"/>
      <c r="Z15" s="102"/>
      <c r="AA15" s="102"/>
      <c r="AB15" s="102"/>
      <c r="AC15" s="102"/>
      <c r="AD15" s="102"/>
      <c r="AE15" s="102"/>
      <c r="AF15" s="102"/>
      <c r="AG15" s="111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51"/>
      <c r="AW15" s="51"/>
      <c r="AX15" s="51"/>
      <c r="AY15" s="51"/>
      <c r="AZ15" s="51"/>
      <c r="BA15" s="51"/>
      <c r="BB15" s="51"/>
      <c r="BC15" s="51"/>
      <c r="BD15" s="96"/>
      <c r="BE15" s="111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11"/>
      <c r="BV15" s="102"/>
      <c r="BW15" s="102"/>
      <c r="BX15" s="102"/>
      <c r="BY15" s="102"/>
      <c r="BZ15" s="102"/>
      <c r="CA15" s="102"/>
      <c r="CB15" s="102"/>
      <c r="CC15" s="102"/>
      <c r="CD15" s="111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51"/>
      <c r="CT15" s="51"/>
      <c r="CU15" s="51"/>
      <c r="CV15" s="51"/>
      <c r="CW15" s="51"/>
      <c r="CX15" s="51"/>
      <c r="CY15" s="51"/>
      <c r="CZ15" s="51"/>
    </row>
    <row r="16" spans="1:104" ht="34.5" customHeight="1">
      <c r="A16" s="51"/>
      <c r="B16" s="94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</row>
    <row r="17" spans="1:104" ht="34.5" customHeight="1">
      <c r="A17" s="51"/>
      <c r="B17" s="94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</row>
    <row r="18" spans="1:104" ht="34.5" customHeight="1">
      <c r="A18" s="51"/>
      <c r="B18" s="94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</row>
    <row r="19" spans="1:104" ht="14.25" customHeight="1">
      <c r="A19" s="51"/>
      <c r="B19" s="9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</row>
    <row r="20" spans="1:104" ht="14.25" customHeight="1">
      <c r="A20" s="51"/>
      <c r="B20" s="94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</row>
    <row r="21" spans="1:104" ht="14.25" customHeight="1">
      <c r="A21" s="51"/>
      <c r="B21" s="94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</row>
    <row r="22" spans="1:104" ht="14.25" customHeight="1">
      <c r="A22" s="51"/>
      <c r="B22" s="94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</row>
    <row r="23" spans="1:104" ht="14.25" customHeight="1">
      <c r="A23" s="51"/>
      <c r="B23" s="94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</row>
    <row r="24" spans="1:104" ht="14.25" customHeight="1">
      <c r="A24" s="51"/>
      <c r="B24" s="94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</row>
    <row r="25" spans="1:104" ht="14.25" customHeight="1">
      <c r="A25" s="51"/>
      <c r="B25" s="94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</row>
    <row r="26" spans="1:104" ht="14.25" customHeight="1">
      <c r="A26" s="51"/>
      <c r="B26" s="94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</row>
    <row r="27" spans="1:104" ht="14.25" customHeight="1">
      <c r="A27" s="51"/>
      <c r="B27" s="94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</row>
    <row r="28" spans="1:104" ht="14.25" customHeight="1">
      <c r="A28" s="51"/>
      <c r="B28" s="9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</row>
    <row r="29" spans="1:104" ht="14.25" customHeight="1">
      <c r="A29" s="51"/>
      <c r="B29" s="94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</row>
    <row r="30" spans="1:104" ht="14.25" customHeight="1">
      <c r="A30" s="51"/>
      <c r="B30" s="94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</row>
    <row r="31" spans="1:104" ht="14.25" customHeight="1">
      <c r="A31" s="51"/>
      <c r="B31" s="94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</row>
    <row r="32" spans="1:104" ht="14.25" customHeight="1">
      <c r="A32" s="51"/>
      <c r="B32" s="94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</row>
    <row r="33" spans="1:104" ht="14.25" customHeight="1">
      <c r="A33" s="51"/>
      <c r="B33" s="94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</row>
    <row r="34" spans="1:104" ht="14.25" customHeight="1">
      <c r="A34" s="51"/>
      <c r="B34" s="94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</row>
    <row r="35" spans="1:104" ht="14.25" customHeight="1">
      <c r="A35" s="51"/>
      <c r="B35" s="94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</row>
    <row r="36" spans="1:104" ht="14.25" customHeight="1">
      <c r="A36" s="51"/>
      <c r="B36" s="94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</row>
    <row r="37" spans="1:104" ht="14.25" customHeight="1">
      <c r="A37" s="51"/>
      <c r="B37" s="94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</row>
    <row r="38" spans="1:104" ht="14.25" customHeight="1">
      <c r="A38" s="51"/>
      <c r="B38" s="94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</row>
    <row r="39" spans="1:104" ht="14.25" customHeight="1">
      <c r="A39" s="51"/>
      <c r="B39" s="94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</row>
    <row r="40" spans="1:104" ht="14.25" customHeight="1">
      <c r="A40" s="51"/>
      <c r="B40" s="94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</row>
    <row r="41" spans="1:104" ht="14.25" customHeight="1">
      <c r="A41" s="51"/>
      <c r="B41" s="94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</row>
    <row r="42" spans="1:104" ht="14.25" customHeight="1">
      <c r="A42" s="51"/>
      <c r="B42" s="94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</row>
    <row r="43" spans="1:104" ht="14.25" customHeight="1">
      <c r="A43" s="51"/>
      <c r="B43" s="94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</row>
    <row r="44" spans="1:104" ht="14.25" customHeight="1">
      <c r="A44" s="51"/>
      <c r="B44" s="94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</row>
    <row r="45" spans="1:104" ht="14.25" customHeight="1">
      <c r="A45" s="51"/>
      <c r="B45" s="94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</row>
    <row r="46" spans="1:104" ht="14.25" customHeight="1">
      <c r="A46" s="51"/>
      <c r="B46" s="94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</row>
    <row r="47" spans="1:104" ht="14.25" customHeight="1">
      <c r="A47" s="51"/>
      <c r="B47" s="94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</row>
    <row r="48" spans="1:104" ht="14.25" customHeight="1">
      <c r="A48" s="51"/>
      <c r="B48" s="94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</row>
    <row r="49" spans="1:104" ht="14.25" customHeight="1">
      <c r="A49" s="51"/>
      <c r="B49" s="94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51"/>
      <c r="CU49" s="51"/>
      <c r="CV49" s="51"/>
      <c r="CW49" s="51"/>
      <c r="CX49" s="51"/>
      <c r="CY49" s="51"/>
      <c r="CZ49" s="51"/>
    </row>
    <row r="50" spans="1:104" ht="14.25" customHeight="1">
      <c r="A50" s="51"/>
      <c r="B50" s="94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</row>
    <row r="51" spans="1:104" ht="14.25" customHeight="1">
      <c r="A51" s="51"/>
      <c r="B51" s="94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</row>
    <row r="52" spans="1:104" ht="14.25" customHeight="1">
      <c r="A52" s="51"/>
      <c r="B52" s="94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</row>
    <row r="53" spans="1:104" ht="14.25" customHeight="1">
      <c r="A53" s="51"/>
      <c r="B53" s="94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</row>
    <row r="54" spans="1:104" ht="14.25" customHeight="1">
      <c r="A54" s="51"/>
      <c r="B54" s="94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</row>
    <row r="55" spans="1:104" ht="14.25" customHeight="1">
      <c r="A55" s="51"/>
      <c r="B55" s="94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</row>
    <row r="56" spans="1:104" ht="14.25" customHeight="1">
      <c r="A56" s="51"/>
      <c r="B56" s="94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</row>
    <row r="57" spans="1:104" ht="14.25" customHeight="1">
      <c r="A57" s="51"/>
      <c r="B57" s="94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</row>
    <row r="58" spans="1:104" ht="14.25" customHeight="1">
      <c r="A58" s="51"/>
      <c r="B58" s="94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</row>
    <row r="59" spans="1:104" ht="14.25" customHeight="1">
      <c r="A59" s="51"/>
      <c r="B59" s="94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</row>
    <row r="60" spans="1:104" ht="14.25" customHeight="1">
      <c r="A60" s="51"/>
      <c r="B60" s="94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</row>
    <row r="61" spans="1:104" ht="14.25" customHeight="1">
      <c r="A61" s="51"/>
      <c r="B61" s="94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</row>
    <row r="62" spans="1:104" ht="14.25" customHeight="1">
      <c r="A62" s="51"/>
      <c r="B62" s="94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</row>
    <row r="63" spans="1:104" ht="14.25" customHeight="1">
      <c r="A63" s="51"/>
      <c r="B63" s="94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</row>
    <row r="64" spans="1:104" ht="14.25" customHeight="1">
      <c r="A64" s="51"/>
      <c r="B64" s="94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</row>
    <row r="65" spans="1:104" ht="14.25" customHeight="1">
      <c r="A65" s="51"/>
      <c r="B65" s="94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</row>
    <row r="66" spans="1:104" ht="14.25" customHeight="1">
      <c r="A66" s="51"/>
      <c r="B66" s="94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</row>
    <row r="67" spans="1:104" ht="14.25" customHeight="1">
      <c r="A67" s="51"/>
      <c r="B67" s="94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</row>
    <row r="68" spans="1:104" ht="14.25" customHeight="1">
      <c r="A68" s="51"/>
      <c r="B68" s="94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</row>
    <row r="69" spans="1:104" ht="14.25" customHeight="1">
      <c r="A69" s="51"/>
      <c r="B69" s="94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</row>
    <row r="70" spans="1:104" ht="14.25" customHeight="1">
      <c r="A70" s="51"/>
      <c r="B70" s="94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</row>
    <row r="71" spans="1:104" ht="14.25" customHeight="1">
      <c r="A71" s="51"/>
      <c r="B71" s="94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</row>
    <row r="72" spans="1:104" ht="14.25" customHeight="1">
      <c r="A72" s="51"/>
      <c r="B72" s="94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</row>
    <row r="73" spans="1:104" ht="14.25" customHeight="1">
      <c r="A73" s="51"/>
      <c r="B73" s="94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</row>
    <row r="74" spans="1:104" ht="14.25" customHeight="1">
      <c r="A74" s="51"/>
      <c r="B74" s="94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</row>
    <row r="75" spans="1:104" ht="14.25" customHeight="1">
      <c r="A75" s="51"/>
      <c r="B75" s="94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</row>
    <row r="76" spans="1:104" ht="14.25" customHeight="1">
      <c r="A76" s="51"/>
      <c r="B76" s="94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</row>
    <row r="77" spans="1:104" ht="14.25" customHeight="1">
      <c r="A77" s="51"/>
      <c r="B77" s="94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</row>
    <row r="78" spans="1:104" ht="14.25" customHeight="1">
      <c r="A78" s="51"/>
      <c r="B78" s="94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</row>
    <row r="79" spans="1:104" ht="14.25" customHeight="1">
      <c r="A79" s="51"/>
      <c r="B79" s="94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</row>
    <row r="80" spans="1:104" ht="14.25" customHeight="1">
      <c r="A80" s="51"/>
      <c r="B80" s="94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</row>
    <row r="81" spans="1:104" ht="14.25" customHeight="1">
      <c r="A81" s="51"/>
      <c r="B81" s="94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</row>
    <row r="82" spans="1:104" ht="14.25" customHeight="1">
      <c r="A82" s="51"/>
      <c r="B82" s="94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</row>
    <row r="83" spans="1:104" ht="14.25" customHeight="1">
      <c r="A83" s="51"/>
      <c r="B83" s="94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</row>
    <row r="84" spans="1:104" ht="14.25" customHeight="1">
      <c r="A84" s="51"/>
      <c r="B84" s="94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</row>
    <row r="85" spans="1:104" ht="14.25" customHeight="1">
      <c r="A85" s="51"/>
      <c r="B85" s="94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</row>
    <row r="86" spans="1:104" ht="14.25" customHeight="1">
      <c r="A86" s="51"/>
      <c r="B86" s="94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</row>
    <row r="87" spans="1:104" ht="14.25" customHeight="1">
      <c r="A87" s="51"/>
      <c r="B87" s="94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</row>
    <row r="88" spans="1:104" ht="14.25" customHeight="1">
      <c r="A88" s="51"/>
      <c r="B88" s="94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</row>
    <row r="89" spans="1:104" ht="14.25" customHeight="1">
      <c r="A89" s="51"/>
      <c r="B89" s="94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</row>
    <row r="90" spans="1:104" ht="14.25" customHeight="1">
      <c r="A90" s="51"/>
      <c r="B90" s="94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</row>
    <row r="91" spans="1:104" ht="14.25" customHeight="1">
      <c r="A91" s="51"/>
      <c r="B91" s="94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</row>
    <row r="92" spans="1:104" ht="14.25" customHeight="1">
      <c r="A92" s="51"/>
      <c r="B92" s="94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</row>
    <row r="93" spans="1:104" ht="14.25" customHeight="1">
      <c r="A93" s="51"/>
      <c r="B93" s="94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</row>
    <row r="94" spans="1:104" ht="14.25" customHeight="1">
      <c r="A94" s="51"/>
      <c r="B94" s="94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</row>
    <row r="95" spans="1:104" ht="14.25" customHeight="1">
      <c r="A95" s="51"/>
      <c r="B95" s="94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</row>
    <row r="96" spans="1:104" ht="14.25" customHeight="1">
      <c r="A96" s="51"/>
      <c r="B96" s="94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</row>
    <row r="97" spans="1:104" ht="14.25" customHeight="1">
      <c r="A97" s="51"/>
      <c r="B97" s="94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</row>
    <row r="98" spans="1:104" ht="14.25" customHeight="1">
      <c r="A98" s="51"/>
      <c r="B98" s="94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</row>
    <row r="99" spans="1:104" ht="14.25" customHeight="1">
      <c r="A99" s="51"/>
      <c r="B99" s="94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</row>
    <row r="100" spans="1:104" ht="14.25" customHeight="1">
      <c r="A100" s="51"/>
      <c r="B100" s="94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</row>
    <row r="101" spans="1:104" ht="14.25" customHeight="1">
      <c r="A101" s="51"/>
      <c r="B101" s="94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</row>
    <row r="102" spans="1:104" ht="14.25" customHeight="1">
      <c r="A102" s="51"/>
      <c r="B102" s="94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</row>
    <row r="103" spans="1:104" ht="14.25" customHeight="1">
      <c r="A103" s="51"/>
      <c r="B103" s="94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</row>
    <row r="104" spans="1:104" ht="14.25" customHeight="1">
      <c r="A104" s="51"/>
      <c r="B104" s="94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</row>
    <row r="105" spans="1:104" ht="14.25" customHeight="1">
      <c r="A105" s="51"/>
      <c r="B105" s="94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</row>
    <row r="106" spans="1:104" ht="14.25" customHeight="1">
      <c r="A106" s="51"/>
      <c r="B106" s="94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</row>
    <row r="107" spans="1:104" ht="14.25" customHeight="1">
      <c r="A107" s="51"/>
      <c r="B107" s="94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</row>
    <row r="108" spans="1:104" ht="14.25" customHeight="1">
      <c r="A108" s="51"/>
      <c r="B108" s="94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</row>
    <row r="109" spans="1:104" ht="14.25" customHeight="1">
      <c r="A109" s="51"/>
      <c r="B109" s="94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</row>
    <row r="110" spans="1:104" ht="14.25" customHeight="1">
      <c r="A110" s="51"/>
      <c r="B110" s="94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</row>
    <row r="111" spans="1:104" ht="14.25" customHeight="1">
      <c r="A111" s="51"/>
      <c r="B111" s="94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</row>
    <row r="112" spans="1:104" ht="14.25" customHeight="1">
      <c r="A112" s="51"/>
      <c r="B112" s="94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</row>
    <row r="113" spans="1:104" ht="14.25" customHeight="1">
      <c r="A113" s="51"/>
      <c r="B113" s="94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</row>
    <row r="114" spans="1:104" ht="14.25" customHeight="1">
      <c r="A114" s="51"/>
      <c r="B114" s="94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</row>
    <row r="115" spans="1:104" ht="14.25" customHeight="1">
      <c r="A115" s="51"/>
      <c r="B115" s="94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</row>
    <row r="116" spans="1:104" ht="14.25" customHeight="1">
      <c r="A116" s="51"/>
      <c r="B116" s="94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</row>
    <row r="117" spans="1:104" ht="14.25" customHeight="1">
      <c r="A117" s="51"/>
      <c r="B117" s="94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</row>
    <row r="118" spans="1:104" ht="14.25" customHeight="1">
      <c r="A118" s="51"/>
      <c r="B118" s="94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</row>
    <row r="119" spans="1:104" ht="14.25" customHeight="1">
      <c r="A119" s="51"/>
      <c r="B119" s="94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</row>
    <row r="120" spans="1:104" ht="14.25" customHeight="1">
      <c r="A120" s="51"/>
      <c r="B120" s="94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</row>
    <row r="121" spans="1:104" ht="14.25" customHeight="1">
      <c r="A121" s="51"/>
      <c r="B121" s="94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</row>
    <row r="122" spans="1:104" ht="14.25" customHeight="1">
      <c r="A122" s="51"/>
      <c r="B122" s="94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</row>
    <row r="123" spans="1:104" ht="14.25" customHeight="1">
      <c r="A123" s="51"/>
      <c r="B123" s="94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</row>
    <row r="124" spans="1:104" ht="14.25" customHeight="1">
      <c r="A124" s="51"/>
      <c r="B124" s="94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</row>
    <row r="125" spans="1:104" ht="14.25" customHeight="1">
      <c r="A125" s="51"/>
      <c r="B125" s="94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</row>
    <row r="126" spans="1:104" ht="14.25" customHeight="1">
      <c r="A126" s="51"/>
      <c r="B126" s="94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</row>
    <row r="127" spans="1:104" ht="14.25" customHeight="1">
      <c r="A127" s="51"/>
      <c r="B127" s="94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</row>
    <row r="128" spans="1:104" ht="14.25" customHeight="1">
      <c r="A128" s="51"/>
      <c r="B128" s="94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</row>
    <row r="129" spans="1:104" ht="14.25" customHeight="1">
      <c r="A129" s="51"/>
      <c r="B129" s="94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</row>
    <row r="130" spans="1:104" ht="14.25" customHeight="1">
      <c r="A130" s="51"/>
      <c r="B130" s="94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</row>
    <row r="131" spans="1:104" ht="14.25" customHeight="1">
      <c r="A131" s="51"/>
      <c r="B131" s="94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</row>
    <row r="132" spans="1:104" ht="14.25" customHeight="1">
      <c r="A132" s="51"/>
      <c r="B132" s="94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</row>
    <row r="133" spans="1:104" ht="14.25" customHeight="1">
      <c r="A133" s="51"/>
      <c r="B133" s="94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</row>
    <row r="134" spans="1:104" ht="14.25" customHeight="1">
      <c r="A134" s="51"/>
      <c r="B134" s="94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</row>
    <row r="135" spans="1:104" ht="14.25" customHeight="1">
      <c r="A135" s="51"/>
      <c r="B135" s="94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</row>
    <row r="136" spans="1:104" ht="14.25" customHeight="1">
      <c r="A136" s="51"/>
      <c r="B136" s="94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</row>
    <row r="137" spans="1:104" ht="14.25" customHeight="1">
      <c r="A137" s="51"/>
      <c r="B137" s="94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</row>
    <row r="138" spans="1:104" ht="14.25" customHeight="1">
      <c r="A138" s="51"/>
      <c r="B138" s="94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</row>
    <row r="139" spans="1:104" ht="14.25" customHeight="1">
      <c r="A139" s="51"/>
      <c r="B139" s="94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</row>
    <row r="140" spans="1:104" ht="14.25" customHeight="1">
      <c r="A140" s="51"/>
      <c r="B140" s="94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</row>
    <row r="141" spans="1:104" ht="14.25" customHeight="1">
      <c r="A141" s="51"/>
      <c r="B141" s="94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</row>
    <row r="142" spans="1:104" ht="14.25" customHeight="1">
      <c r="A142" s="51"/>
      <c r="B142" s="94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</row>
    <row r="143" spans="1:104" ht="14.25" customHeight="1">
      <c r="A143" s="51"/>
      <c r="B143" s="94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</row>
    <row r="144" spans="1:104" ht="14.25" customHeight="1">
      <c r="A144" s="51"/>
      <c r="B144" s="94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</row>
    <row r="145" spans="1:104" ht="14.25" customHeight="1">
      <c r="A145" s="51"/>
      <c r="B145" s="94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</row>
    <row r="146" spans="1:104" ht="14.25" customHeight="1">
      <c r="A146" s="51"/>
      <c r="B146" s="94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</row>
    <row r="147" spans="1:104" ht="14.25" customHeight="1">
      <c r="A147" s="51"/>
      <c r="B147" s="94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</row>
    <row r="148" spans="1:104" ht="14.25" customHeight="1">
      <c r="A148" s="51"/>
      <c r="B148" s="94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</row>
    <row r="149" spans="1:104" ht="14.25" customHeight="1">
      <c r="A149" s="51"/>
      <c r="B149" s="94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</row>
    <row r="150" spans="1:104" ht="14.25" customHeight="1">
      <c r="A150" s="51"/>
      <c r="B150" s="94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</row>
    <row r="151" spans="1:104" ht="14.25" customHeight="1">
      <c r="A151" s="51"/>
      <c r="B151" s="94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</row>
    <row r="152" spans="1:104" ht="14.25" customHeight="1">
      <c r="A152" s="51"/>
      <c r="B152" s="94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</row>
    <row r="153" spans="1:104" ht="14.25" customHeight="1">
      <c r="A153" s="51"/>
      <c r="B153" s="94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</row>
    <row r="154" spans="1:104" ht="14.25" customHeight="1">
      <c r="A154" s="51"/>
      <c r="B154" s="94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</row>
    <row r="155" spans="1:104" ht="14.25" customHeight="1">
      <c r="A155" s="51"/>
      <c r="B155" s="94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</row>
    <row r="156" spans="1:104" ht="14.25" customHeight="1">
      <c r="A156" s="51"/>
      <c r="B156" s="94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</row>
    <row r="157" spans="1:104" ht="14.25" customHeight="1">
      <c r="A157" s="51"/>
      <c r="B157" s="94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</row>
    <row r="158" spans="1:104" ht="14.25" customHeight="1">
      <c r="A158" s="51"/>
      <c r="B158" s="94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</row>
    <row r="159" spans="1:104" ht="14.25" customHeight="1">
      <c r="A159" s="1"/>
      <c r="B159" s="2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1"/>
      <c r="CV159" s="1"/>
      <c r="CW159" s="1"/>
      <c r="CX159" s="1"/>
      <c r="CY159" s="1"/>
      <c r="CZ159" s="1"/>
    </row>
    <row r="160" spans="1:104" ht="14.25" customHeight="1">
      <c r="A160" s="1"/>
      <c r="B160" s="2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1"/>
      <c r="CV160" s="1"/>
      <c r="CW160" s="1"/>
      <c r="CX160" s="1"/>
      <c r="CY160" s="1"/>
      <c r="CZ160" s="1"/>
    </row>
    <row r="161" spans="1:104" ht="14.25" customHeight="1">
      <c r="A161" s="1"/>
      <c r="B161" s="2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1"/>
      <c r="CV161" s="1"/>
      <c r="CW161" s="1"/>
      <c r="CX161" s="1"/>
      <c r="CY161" s="1"/>
      <c r="CZ161" s="1"/>
    </row>
    <row r="162" spans="1:104" ht="14.25" customHeight="1">
      <c r="A162" s="1"/>
      <c r="B162" s="2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1"/>
      <c r="CV162" s="1"/>
      <c r="CW162" s="1"/>
      <c r="CX162" s="1"/>
      <c r="CY162" s="1"/>
      <c r="CZ162" s="1"/>
    </row>
    <row r="163" spans="1:104" ht="14.25" customHeight="1">
      <c r="A163" s="1"/>
      <c r="B163" s="2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1"/>
      <c r="CV163" s="1"/>
      <c r="CW163" s="1"/>
      <c r="CX163" s="1"/>
      <c r="CY163" s="1"/>
      <c r="CZ163" s="1"/>
    </row>
    <row r="164" spans="1:104" ht="14.25" customHeight="1">
      <c r="A164" s="1"/>
      <c r="B164" s="2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1"/>
      <c r="CV164" s="1"/>
      <c r="CW164" s="1"/>
      <c r="CX164" s="1"/>
      <c r="CY164" s="1"/>
      <c r="CZ164" s="1"/>
    </row>
    <row r="165" spans="1:104" ht="14.25" customHeight="1">
      <c r="A165" s="1"/>
      <c r="B165" s="2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1"/>
      <c r="CV165" s="1"/>
      <c r="CW165" s="1"/>
      <c r="CX165" s="1"/>
      <c r="CY165" s="1"/>
      <c r="CZ165" s="1"/>
    </row>
    <row r="166" spans="1:104" ht="14.25" customHeight="1">
      <c r="A166" s="1"/>
      <c r="B166" s="2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1"/>
      <c r="CV166" s="1"/>
      <c r="CW166" s="1"/>
      <c r="CX166" s="1"/>
      <c r="CY166" s="1"/>
      <c r="CZ166" s="1"/>
    </row>
    <row r="167" spans="1:104" ht="14.25" customHeight="1">
      <c r="A167" s="1"/>
      <c r="B167" s="2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1"/>
      <c r="CV167" s="1"/>
      <c r="CW167" s="1"/>
      <c r="CX167" s="1"/>
      <c r="CY167" s="1"/>
      <c r="CZ167" s="1"/>
    </row>
    <row r="168" spans="1:104" ht="14.25" customHeight="1">
      <c r="A168" s="1"/>
      <c r="B168" s="2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1"/>
      <c r="CV168" s="1"/>
      <c r="CW168" s="1"/>
      <c r="CX168" s="1"/>
      <c r="CY168" s="1"/>
      <c r="CZ168" s="1"/>
    </row>
    <row r="169" spans="1:104" ht="14.25" customHeight="1">
      <c r="A169" s="1"/>
      <c r="B169" s="2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1"/>
      <c r="CV169" s="1"/>
      <c r="CW169" s="1"/>
      <c r="CX169" s="1"/>
      <c r="CY169" s="1"/>
      <c r="CZ169" s="1"/>
    </row>
    <row r="170" spans="1:104" ht="14.25" customHeight="1">
      <c r="A170" s="1"/>
      <c r="B170" s="2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1"/>
      <c r="CV170" s="1"/>
      <c r="CW170" s="1"/>
      <c r="CX170" s="1"/>
      <c r="CY170" s="1"/>
      <c r="CZ170" s="1"/>
    </row>
    <row r="171" spans="1:104" ht="14.25" customHeight="1">
      <c r="A171" s="1"/>
      <c r="B171" s="2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1"/>
      <c r="CV171" s="1"/>
      <c r="CW171" s="1"/>
      <c r="CX171" s="1"/>
      <c r="CY171" s="1"/>
      <c r="CZ171" s="1"/>
    </row>
    <row r="172" spans="1:104" ht="14.25" customHeight="1">
      <c r="A172" s="1"/>
      <c r="B172" s="2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51"/>
      <c r="CU172" s="1"/>
      <c r="CV172" s="1"/>
      <c r="CW172" s="1"/>
      <c r="CX172" s="1"/>
      <c r="CY172" s="1"/>
      <c r="CZ172" s="1"/>
    </row>
    <row r="173" spans="1:104" ht="14.25" customHeight="1">
      <c r="A173" s="1"/>
      <c r="B173" s="2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1"/>
      <c r="CV173" s="1"/>
      <c r="CW173" s="1"/>
      <c r="CX173" s="1"/>
      <c r="CY173" s="1"/>
      <c r="CZ173" s="1"/>
    </row>
    <row r="174" spans="1:104" ht="14.25" customHeight="1">
      <c r="A174" s="1"/>
      <c r="B174" s="2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1"/>
      <c r="CV174" s="1"/>
      <c r="CW174" s="1"/>
      <c r="CX174" s="1"/>
      <c r="CY174" s="1"/>
      <c r="CZ174" s="1"/>
    </row>
    <row r="175" spans="1:104" ht="14.25" customHeight="1">
      <c r="A175" s="1"/>
      <c r="B175" s="2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1"/>
      <c r="CV175" s="1"/>
      <c r="CW175" s="1"/>
      <c r="CX175" s="1"/>
      <c r="CY175" s="1"/>
      <c r="CZ175" s="1"/>
    </row>
    <row r="176" spans="1:104" ht="14.25" customHeight="1">
      <c r="A176" s="1"/>
      <c r="B176" s="2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1"/>
      <c r="CV176" s="1"/>
      <c r="CW176" s="1"/>
      <c r="CX176" s="1"/>
      <c r="CY176" s="1"/>
      <c r="CZ176" s="1"/>
    </row>
    <row r="177" spans="1:104" ht="14.25" customHeight="1">
      <c r="A177" s="1"/>
      <c r="B177" s="2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1"/>
      <c r="CV177" s="1"/>
      <c r="CW177" s="1"/>
      <c r="CX177" s="1"/>
      <c r="CY177" s="1"/>
      <c r="CZ177" s="1"/>
    </row>
    <row r="178" spans="1:104" ht="14.25" customHeight="1">
      <c r="A178" s="1"/>
      <c r="B178" s="2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1"/>
      <c r="CV178" s="1"/>
      <c r="CW178" s="1"/>
      <c r="CX178" s="1"/>
      <c r="CY178" s="1"/>
      <c r="CZ178" s="1"/>
    </row>
    <row r="179" spans="1:104" ht="14.25" customHeight="1">
      <c r="A179" s="1"/>
      <c r="B179" s="2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1"/>
      <c r="CV179" s="1"/>
      <c r="CW179" s="1"/>
      <c r="CX179" s="1"/>
      <c r="CY179" s="1"/>
      <c r="CZ179" s="1"/>
    </row>
    <row r="180" spans="1:104" ht="14.25" customHeight="1">
      <c r="A180" s="1"/>
      <c r="B180" s="2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1"/>
      <c r="CV180" s="1"/>
      <c r="CW180" s="1"/>
      <c r="CX180" s="1"/>
      <c r="CY180" s="1"/>
      <c r="CZ180" s="1"/>
    </row>
    <row r="181" spans="1:104" ht="14.25" customHeight="1">
      <c r="A181" s="1"/>
      <c r="B181" s="2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1"/>
      <c r="CV181" s="1"/>
      <c r="CW181" s="1"/>
      <c r="CX181" s="1"/>
      <c r="CY181" s="1"/>
      <c r="CZ181" s="1"/>
    </row>
    <row r="182" spans="1:104" ht="14.25" customHeight="1">
      <c r="A182" s="1"/>
      <c r="B182" s="2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1"/>
      <c r="CV182" s="1"/>
      <c r="CW182" s="1"/>
      <c r="CX182" s="1"/>
      <c r="CY182" s="1"/>
      <c r="CZ182" s="1"/>
    </row>
    <row r="183" spans="1:104" ht="14.25" customHeight="1">
      <c r="A183" s="1"/>
      <c r="B183" s="2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1"/>
      <c r="CV183" s="1"/>
      <c r="CW183" s="1"/>
      <c r="CX183" s="1"/>
      <c r="CY183" s="1"/>
      <c r="CZ183" s="1"/>
    </row>
    <row r="184" spans="1:104" ht="14.25" customHeight="1">
      <c r="A184" s="1"/>
      <c r="B184" s="2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1"/>
      <c r="CV184" s="1"/>
      <c r="CW184" s="1"/>
      <c r="CX184" s="1"/>
      <c r="CY184" s="1"/>
      <c r="CZ184" s="1"/>
    </row>
    <row r="185" spans="1:104" ht="14.25" customHeight="1">
      <c r="A185" s="1"/>
      <c r="B185" s="2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1"/>
      <c r="CV185" s="1"/>
      <c r="CW185" s="1"/>
      <c r="CX185" s="1"/>
      <c r="CY185" s="1"/>
      <c r="CZ185" s="1"/>
    </row>
    <row r="186" spans="1:104" ht="14.25" customHeight="1">
      <c r="A186" s="1"/>
      <c r="B186" s="2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51"/>
      <c r="CU186" s="1"/>
      <c r="CV186" s="1"/>
      <c r="CW186" s="1"/>
      <c r="CX186" s="1"/>
      <c r="CY186" s="1"/>
      <c r="CZ186" s="1"/>
    </row>
    <row r="187" spans="1:104" ht="14.25" customHeight="1">
      <c r="A187" s="1"/>
      <c r="B187" s="2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1"/>
      <c r="CV187" s="1"/>
      <c r="CW187" s="1"/>
      <c r="CX187" s="1"/>
      <c r="CY187" s="1"/>
      <c r="CZ187" s="1"/>
    </row>
    <row r="188" spans="1:104" ht="14.25" customHeight="1">
      <c r="A188" s="1"/>
      <c r="B188" s="2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1"/>
      <c r="CV188" s="1"/>
      <c r="CW188" s="1"/>
      <c r="CX188" s="1"/>
      <c r="CY188" s="1"/>
      <c r="CZ188" s="1"/>
    </row>
    <row r="189" spans="1:104" ht="14.25" customHeight="1">
      <c r="A189" s="1"/>
      <c r="B189" s="2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1"/>
      <c r="CV189" s="1"/>
      <c r="CW189" s="1"/>
      <c r="CX189" s="1"/>
      <c r="CY189" s="1"/>
      <c r="CZ189" s="1"/>
    </row>
    <row r="190" spans="1:104" ht="14.25" customHeight="1">
      <c r="A190" s="1"/>
      <c r="B190" s="2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1"/>
      <c r="CV190" s="1"/>
      <c r="CW190" s="1"/>
      <c r="CX190" s="1"/>
      <c r="CY190" s="1"/>
      <c r="CZ190" s="1"/>
    </row>
    <row r="191" spans="1:104" ht="14.25" customHeight="1">
      <c r="A191" s="1"/>
      <c r="B191" s="2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1"/>
      <c r="CV191" s="1"/>
      <c r="CW191" s="1"/>
      <c r="CX191" s="1"/>
      <c r="CY191" s="1"/>
      <c r="CZ191" s="1"/>
    </row>
    <row r="192" spans="1:104" ht="14.25" customHeight="1">
      <c r="A192" s="1"/>
      <c r="B192" s="2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1"/>
      <c r="CV192" s="1"/>
      <c r="CW192" s="1"/>
      <c r="CX192" s="1"/>
      <c r="CY192" s="1"/>
      <c r="CZ192" s="1"/>
    </row>
    <row r="193" spans="1:104" ht="14.25" customHeight="1">
      <c r="A193" s="1"/>
      <c r="B193" s="2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1"/>
      <c r="CV193" s="1"/>
      <c r="CW193" s="1"/>
      <c r="CX193" s="1"/>
      <c r="CY193" s="1"/>
      <c r="CZ193" s="1"/>
    </row>
    <row r="194" spans="1:104" ht="14.25" customHeight="1">
      <c r="A194" s="1"/>
      <c r="B194" s="2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51"/>
      <c r="CU194" s="1"/>
      <c r="CV194" s="1"/>
      <c r="CW194" s="1"/>
      <c r="CX194" s="1"/>
      <c r="CY194" s="1"/>
      <c r="CZ194" s="1"/>
    </row>
    <row r="195" spans="1:104" ht="14.25" customHeight="1">
      <c r="A195" s="1"/>
      <c r="B195" s="2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1"/>
      <c r="CV195" s="1"/>
      <c r="CW195" s="1"/>
      <c r="CX195" s="1"/>
      <c r="CY195" s="1"/>
      <c r="CZ195" s="1"/>
    </row>
    <row r="196" spans="1:104" ht="14.25" customHeight="1">
      <c r="A196" s="1"/>
      <c r="B196" s="2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51"/>
      <c r="CU196" s="1"/>
      <c r="CV196" s="1"/>
      <c r="CW196" s="1"/>
      <c r="CX196" s="1"/>
      <c r="CY196" s="1"/>
      <c r="CZ196" s="1"/>
    </row>
    <row r="197" spans="1:104" ht="14.25" customHeight="1">
      <c r="A197" s="1"/>
      <c r="B197" s="2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1"/>
      <c r="CV197" s="1"/>
      <c r="CW197" s="1"/>
      <c r="CX197" s="1"/>
      <c r="CY197" s="1"/>
      <c r="CZ197" s="1"/>
    </row>
    <row r="198" spans="1:104" ht="14.25" customHeight="1">
      <c r="A198" s="1"/>
      <c r="B198" s="2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51"/>
      <c r="CU198" s="1"/>
      <c r="CV198" s="1"/>
      <c r="CW198" s="1"/>
      <c r="CX198" s="1"/>
      <c r="CY198" s="1"/>
      <c r="CZ198" s="1"/>
    </row>
    <row r="199" spans="1:104" ht="14.25" customHeight="1">
      <c r="A199" s="1"/>
      <c r="B199" s="2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51"/>
      <c r="CU199" s="1"/>
      <c r="CV199" s="1"/>
      <c r="CW199" s="1"/>
      <c r="CX199" s="1"/>
      <c r="CY199" s="1"/>
      <c r="CZ199" s="1"/>
    </row>
    <row r="200" spans="1:104" ht="14.25" customHeight="1">
      <c r="A200" s="1"/>
      <c r="B200" s="2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51"/>
      <c r="CU200" s="1"/>
      <c r="CV200" s="1"/>
      <c r="CW200" s="1"/>
      <c r="CX200" s="1"/>
      <c r="CY200" s="1"/>
      <c r="CZ200" s="1"/>
    </row>
    <row r="201" spans="1:104" ht="14.25" customHeight="1">
      <c r="A201" s="1"/>
      <c r="B201" s="2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51"/>
      <c r="CU201" s="1"/>
      <c r="CV201" s="1"/>
      <c r="CW201" s="1"/>
      <c r="CX201" s="1"/>
      <c r="CY201" s="1"/>
      <c r="CZ201" s="1"/>
    </row>
    <row r="202" spans="1:104" ht="14.25" customHeight="1">
      <c r="A202" s="1"/>
      <c r="B202" s="2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51"/>
      <c r="CU202" s="1"/>
      <c r="CV202" s="1"/>
      <c r="CW202" s="1"/>
      <c r="CX202" s="1"/>
      <c r="CY202" s="1"/>
      <c r="CZ202" s="1"/>
    </row>
    <row r="203" spans="1:104" ht="14.25" customHeight="1">
      <c r="A203" s="1"/>
      <c r="B203" s="2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51"/>
      <c r="CU203" s="1"/>
      <c r="CV203" s="1"/>
      <c r="CW203" s="1"/>
      <c r="CX203" s="1"/>
      <c r="CY203" s="1"/>
      <c r="CZ203" s="1"/>
    </row>
    <row r="204" spans="1:104" ht="14.25" customHeight="1">
      <c r="A204" s="1"/>
      <c r="B204" s="2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1"/>
      <c r="CV204" s="1"/>
      <c r="CW204" s="1"/>
      <c r="CX204" s="1"/>
      <c r="CY204" s="1"/>
      <c r="CZ204" s="1"/>
    </row>
    <row r="205" spans="1:104" ht="14.25" customHeight="1">
      <c r="A205" s="1"/>
      <c r="B205" s="2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51"/>
      <c r="CU205" s="1"/>
      <c r="CV205" s="1"/>
      <c r="CW205" s="1"/>
      <c r="CX205" s="1"/>
      <c r="CY205" s="1"/>
      <c r="CZ205" s="1"/>
    </row>
    <row r="206" spans="1:104" ht="14.25" customHeight="1">
      <c r="A206" s="1"/>
      <c r="B206" s="2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51"/>
      <c r="CU206" s="1"/>
      <c r="CV206" s="1"/>
      <c r="CW206" s="1"/>
      <c r="CX206" s="1"/>
      <c r="CY206" s="1"/>
      <c r="CZ206" s="1"/>
    </row>
    <row r="207" spans="1:104" ht="14.25" customHeight="1">
      <c r="A207" s="1"/>
      <c r="B207" s="2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51"/>
      <c r="CU207" s="1"/>
      <c r="CV207" s="1"/>
      <c r="CW207" s="1"/>
      <c r="CX207" s="1"/>
      <c r="CY207" s="1"/>
      <c r="CZ207" s="1"/>
    </row>
    <row r="208" spans="1:104" ht="14.25" customHeight="1">
      <c r="A208" s="1"/>
      <c r="B208" s="2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1"/>
      <c r="CV208" s="1"/>
      <c r="CW208" s="1"/>
      <c r="CX208" s="1"/>
      <c r="CY208" s="1"/>
      <c r="CZ208" s="1"/>
    </row>
    <row r="209" spans="1:104" ht="14.25" customHeight="1">
      <c r="A209" s="1"/>
      <c r="B209" s="2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51"/>
      <c r="CU209" s="1"/>
      <c r="CV209" s="1"/>
      <c r="CW209" s="1"/>
      <c r="CX209" s="1"/>
      <c r="CY209" s="1"/>
      <c r="CZ209" s="1"/>
    </row>
    <row r="210" spans="1:104" ht="14.25" customHeight="1">
      <c r="A210" s="1"/>
      <c r="B210" s="2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1"/>
      <c r="CV210" s="1"/>
      <c r="CW210" s="1"/>
      <c r="CX210" s="1"/>
      <c r="CY210" s="1"/>
      <c r="CZ210" s="1"/>
    </row>
    <row r="211" spans="1:104" ht="14.25" customHeight="1">
      <c r="A211" s="1"/>
      <c r="B211" s="2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51"/>
      <c r="CU211" s="1"/>
      <c r="CV211" s="1"/>
      <c r="CW211" s="1"/>
      <c r="CX211" s="1"/>
      <c r="CY211" s="1"/>
      <c r="CZ211" s="1"/>
    </row>
    <row r="212" spans="1:104" ht="14.25" customHeight="1">
      <c r="A212" s="1"/>
      <c r="B212" s="2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1"/>
      <c r="CV212" s="1"/>
      <c r="CW212" s="1"/>
      <c r="CX212" s="1"/>
      <c r="CY212" s="1"/>
      <c r="CZ212" s="1"/>
    </row>
    <row r="213" spans="1:104" ht="14.25" customHeight="1">
      <c r="A213" s="1"/>
      <c r="B213" s="2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51"/>
      <c r="CU213" s="1"/>
      <c r="CV213" s="1"/>
      <c r="CW213" s="1"/>
      <c r="CX213" s="1"/>
      <c r="CY213" s="1"/>
      <c r="CZ213" s="1"/>
    </row>
    <row r="214" spans="1:104" ht="14.25" customHeight="1">
      <c r="A214" s="1"/>
      <c r="B214" s="2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51"/>
      <c r="CU214" s="1"/>
      <c r="CV214" s="1"/>
      <c r="CW214" s="1"/>
      <c r="CX214" s="1"/>
      <c r="CY214" s="1"/>
      <c r="CZ214" s="1"/>
    </row>
    <row r="215" spans="1:104" ht="14.25" customHeight="1">
      <c r="A215" s="1"/>
      <c r="B215" s="2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1"/>
      <c r="CV215" s="1"/>
      <c r="CW215" s="1"/>
      <c r="CX215" s="1"/>
      <c r="CY215" s="1"/>
      <c r="CZ215" s="1"/>
    </row>
    <row r="216" spans="1:104" ht="14.25" customHeight="1">
      <c r="A216" s="1"/>
      <c r="B216" s="2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51"/>
      <c r="CU216" s="1"/>
      <c r="CV216" s="1"/>
      <c r="CW216" s="1"/>
      <c r="CX216" s="1"/>
      <c r="CY216" s="1"/>
      <c r="CZ216" s="1"/>
    </row>
    <row r="217" spans="1:104" ht="14.25" customHeight="1">
      <c r="A217" s="1"/>
      <c r="B217" s="2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51"/>
      <c r="CU217" s="1"/>
      <c r="CV217" s="1"/>
      <c r="CW217" s="1"/>
      <c r="CX217" s="1"/>
      <c r="CY217" s="1"/>
      <c r="CZ217" s="1"/>
    </row>
    <row r="218" spans="1:104" ht="14.25" customHeight="1">
      <c r="A218" s="1"/>
      <c r="B218" s="2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51"/>
      <c r="CU218" s="1"/>
      <c r="CV218" s="1"/>
      <c r="CW218" s="1"/>
      <c r="CX218" s="1"/>
      <c r="CY218" s="1"/>
      <c r="CZ218" s="1"/>
    </row>
    <row r="219" spans="1:104" ht="14.25" customHeight="1">
      <c r="A219" s="1"/>
      <c r="B219" s="2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51"/>
      <c r="CU219" s="1"/>
      <c r="CV219" s="1"/>
      <c r="CW219" s="1"/>
      <c r="CX219" s="1"/>
      <c r="CY219" s="1"/>
      <c r="CZ219" s="1"/>
    </row>
    <row r="220" spans="1:104" ht="14.25" customHeight="1">
      <c r="A220" s="1"/>
      <c r="B220" s="2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51"/>
      <c r="CU220" s="1"/>
      <c r="CV220" s="1"/>
      <c r="CW220" s="1"/>
      <c r="CX220" s="1"/>
      <c r="CY220" s="1"/>
      <c r="CZ220" s="1"/>
    </row>
    <row r="221" spans="1:104" ht="14.25" customHeight="1">
      <c r="A221" s="1"/>
      <c r="B221" s="2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51"/>
      <c r="CU221" s="1"/>
      <c r="CV221" s="1"/>
      <c r="CW221" s="1"/>
      <c r="CX221" s="1"/>
      <c r="CY221" s="1"/>
      <c r="CZ221" s="1"/>
    </row>
    <row r="222" spans="1:104" ht="14.25" customHeight="1">
      <c r="A222" s="1"/>
      <c r="B222" s="2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51"/>
      <c r="CU222" s="1"/>
      <c r="CV222" s="1"/>
      <c r="CW222" s="1"/>
      <c r="CX222" s="1"/>
      <c r="CY222" s="1"/>
      <c r="CZ222" s="1"/>
    </row>
    <row r="223" spans="1:104" ht="14.25" customHeight="1">
      <c r="A223" s="1"/>
      <c r="B223" s="2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51"/>
      <c r="CU223" s="1"/>
      <c r="CV223" s="1"/>
      <c r="CW223" s="1"/>
      <c r="CX223" s="1"/>
      <c r="CY223" s="1"/>
      <c r="CZ223" s="1"/>
    </row>
    <row r="224" spans="1:104" ht="14.25" customHeight="1">
      <c r="A224" s="1"/>
      <c r="B224" s="2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  <c r="CQ224" s="51"/>
      <c r="CR224" s="51"/>
      <c r="CS224" s="51"/>
      <c r="CT224" s="51"/>
      <c r="CU224" s="1"/>
      <c r="CV224" s="1"/>
      <c r="CW224" s="1"/>
      <c r="CX224" s="1"/>
      <c r="CY224" s="1"/>
      <c r="CZ224" s="1"/>
    </row>
    <row r="225" spans="1:104" ht="14.25" customHeight="1">
      <c r="A225" s="1"/>
      <c r="B225" s="2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1"/>
      <c r="CV225" s="1"/>
      <c r="CW225" s="1"/>
      <c r="CX225" s="1"/>
      <c r="CY225" s="1"/>
      <c r="CZ225" s="1"/>
    </row>
    <row r="226" spans="1:104" ht="14.25" customHeight="1">
      <c r="A226" s="1"/>
      <c r="B226" s="2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51"/>
      <c r="CU226" s="1"/>
      <c r="CV226" s="1"/>
      <c r="CW226" s="1"/>
      <c r="CX226" s="1"/>
      <c r="CY226" s="1"/>
      <c r="CZ226" s="1"/>
    </row>
    <row r="227" spans="1:104" ht="14.25" customHeight="1">
      <c r="A227" s="1"/>
      <c r="B227" s="2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  <c r="CQ227" s="51"/>
      <c r="CR227" s="51"/>
      <c r="CS227" s="51"/>
      <c r="CT227" s="51"/>
      <c r="CU227" s="1"/>
      <c r="CV227" s="1"/>
      <c r="CW227" s="1"/>
      <c r="CX227" s="1"/>
      <c r="CY227" s="1"/>
      <c r="CZ227" s="1"/>
    </row>
    <row r="228" spans="1:104" ht="14.25" customHeight="1">
      <c r="A228" s="1"/>
      <c r="B228" s="2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51"/>
      <c r="CU228" s="1"/>
      <c r="CV228" s="1"/>
      <c r="CW228" s="1"/>
      <c r="CX228" s="1"/>
      <c r="CY228" s="1"/>
      <c r="CZ228" s="1"/>
    </row>
    <row r="229" spans="1:104" ht="14.25" customHeight="1">
      <c r="A229" s="1"/>
      <c r="B229" s="2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51"/>
      <c r="CU229" s="1"/>
      <c r="CV229" s="1"/>
      <c r="CW229" s="1"/>
      <c r="CX229" s="1"/>
      <c r="CY229" s="1"/>
      <c r="CZ229" s="1"/>
    </row>
    <row r="230" spans="1:104" ht="14.25" customHeight="1">
      <c r="A230" s="1"/>
      <c r="B230" s="2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  <c r="CQ230" s="51"/>
      <c r="CR230" s="51"/>
      <c r="CS230" s="51"/>
      <c r="CT230" s="51"/>
      <c r="CU230" s="1"/>
      <c r="CV230" s="1"/>
      <c r="CW230" s="1"/>
      <c r="CX230" s="1"/>
      <c r="CY230" s="1"/>
      <c r="CZ230" s="1"/>
    </row>
    <row r="231" spans="1:104" ht="14.25" customHeight="1">
      <c r="A231" s="1"/>
      <c r="B231" s="2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  <c r="CQ231" s="51"/>
      <c r="CR231" s="51"/>
      <c r="CS231" s="51"/>
      <c r="CT231" s="51"/>
      <c r="CU231" s="1"/>
      <c r="CV231" s="1"/>
      <c r="CW231" s="1"/>
      <c r="CX231" s="1"/>
      <c r="CY231" s="1"/>
      <c r="CZ231" s="1"/>
    </row>
    <row r="232" spans="1:104" ht="14.25" customHeight="1">
      <c r="A232" s="1"/>
      <c r="B232" s="2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  <c r="CQ232" s="51"/>
      <c r="CR232" s="51"/>
      <c r="CS232" s="51"/>
      <c r="CT232" s="51"/>
      <c r="CU232" s="1"/>
      <c r="CV232" s="1"/>
      <c r="CW232" s="1"/>
      <c r="CX232" s="1"/>
      <c r="CY232" s="1"/>
      <c r="CZ232" s="1"/>
    </row>
    <row r="233" spans="1:104" ht="14.25" customHeight="1">
      <c r="A233" s="1"/>
      <c r="B233" s="2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  <c r="CQ233" s="51"/>
      <c r="CR233" s="51"/>
      <c r="CS233" s="51"/>
      <c r="CT233" s="51"/>
      <c r="CU233" s="1"/>
      <c r="CV233" s="1"/>
      <c r="CW233" s="1"/>
      <c r="CX233" s="1"/>
      <c r="CY233" s="1"/>
      <c r="CZ233" s="1"/>
    </row>
    <row r="234" spans="1:104" ht="14.25" customHeight="1">
      <c r="A234" s="1"/>
      <c r="B234" s="2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  <c r="CQ234" s="51"/>
      <c r="CR234" s="51"/>
      <c r="CS234" s="51"/>
      <c r="CT234" s="51"/>
      <c r="CU234" s="1"/>
      <c r="CV234" s="1"/>
      <c r="CW234" s="1"/>
      <c r="CX234" s="1"/>
      <c r="CY234" s="1"/>
      <c r="CZ234" s="1"/>
    </row>
    <row r="235" spans="1:104" ht="14.25" customHeight="1">
      <c r="A235" s="1"/>
      <c r="B235" s="2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  <c r="CQ235" s="51"/>
      <c r="CR235" s="51"/>
      <c r="CS235" s="51"/>
      <c r="CT235" s="51"/>
      <c r="CU235" s="1"/>
      <c r="CV235" s="1"/>
      <c r="CW235" s="1"/>
      <c r="CX235" s="1"/>
      <c r="CY235" s="1"/>
      <c r="CZ235" s="1"/>
    </row>
    <row r="236" spans="1:104" ht="14.25" customHeight="1">
      <c r="A236" s="1"/>
      <c r="B236" s="2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  <c r="CQ236" s="51"/>
      <c r="CR236" s="51"/>
      <c r="CS236" s="51"/>
      <c r="CT236" s="51"/>
      <c r="CU236" s="1"/>
      <c r="CV236" s="1"/>
      <c r="CW236" s="1"/>
      <c r="CX236" s="1"/>
      <c r="CY236" s="1"/>
      <c r="CZ236" s="1"/>
    </row>
    <row r="237" spans="1:104" ht="14.25" customHeight="1">
      <c r="A237" s="1"/>
      <c r="B237" s="2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51"/>
      <c r="CU237" s="1"/>
      <c r="CV237" s="1"/>
      <c r="CW237" s="1"/>
      <c r="CX237" s="1"/>
      <c r="CY237" s="1"/>
      <c r="CZ237" s="1"/>
    </row>
    <row r="238" spans="1:104" ht="14.25" customHeight="1">
      <c r="A238" s="1"/>
      <c r="B238" s="2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  <c r="CM238" s="51"/>
      <c r="CN238" s="51"/>
      <c r="CO238" s="51"/>
      <c r="CP238" s="51"/>
      <c r="CQ238" s="51"/>
      <c r="CR238" s="51"/>
      <c r="CS238" s="51"/>
      <c r="CT238" s="51"/>
      <c r="CU238" s="1"/>
      <c r="CV238" s="1"/>
      <c r="CW238" s="1"/>
      <c r="CX238" s="1"/>
      <c r="CY238" s="1"/>
      <c r="CZ238" s="1"/>
    </row>
    <row r="239" spans="1:104" ht="14.25" customHeight="1">
      <c r="A239" s="1"/>
      <c r="B239" s="2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  <c r="CM239" s="51"/>
      <c r="CN239" s="51"/>
      <c r="CO239" s="51"/>
      <c r="CP239" s="51"/>
      <c r="CQ239" s="51"/>
      <c r="CR239" s="51"/>
      <c r="CS239" s="51"/>
      <c r="CT239" s="51"/>
      <c r="CU239" s="1"/>
      <c r="CV239" s="1"/>
      <c r="CW239" s="1"/>
      <c r="CX239" s="1"/>
      <c r="CY239" s="1"/>
      <c r="CZ239" s="1"/>
    </row>
    <row r="240" spans="1:104" ht="14.25" customHeight="1">
      <c r="A240" s="1"/>
      <c r="B240" s="2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  <c r="CM240" s="51"/>
      <c r="CN240" s="51"/>
      <c r="CO240" s="51"/>
      <c r="CP240" s="51"/>
      <c r="CQ240" s="51"/>
      <c r="CR240" s="51"/>
      <c r="CS240" s="51"/>
      <c r="CT240" s="51"/>
      <c r="CU240" s="1"/>
      <c r="CV240" s="1"/>
      <c r="CW240" s="1"/>
      <c r="CX240" s="1"/>
      <c r="CY240" s="1"/>
      <c r="CZ240" s="1"/>
    </row>
    <row r="241" spans="1:104" ht="14.25" customHeight="1">
      <c r="A241" s="1"/>
      <c r="B241" s="2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  <c r="CM241" s="51"/>
      <c r="CN241" s="51"/>
      <c r="CO241" s="51"/>
      <c r="CP241" s="51"/>
      <c r="CQ241" s="51"/>
      <c r="CR241" s="51"/>
      <c r="CS241" s="51"/>
      <c r="CT241" s="51"/>
      <c r="CU241" s="1"/>
      <c r="CV241" s="1"/>
      <c r="CW241" s="1"/>
      <c r="CX241" s="1"/>
      <c r="CY241" s="1"/>
      <c r="CZ241" s="1"/>
    </row>
    <row r="242" spans="1:104" ht="14.25" customHeight="1">
      <c r="A242" s="1"/>
      <c r="B242" s="2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  <c r="CO242" s="51"/>
      <c r="CP242" s="51"/>
      <c r="CQ242" s="51"/>
      <c r="CR242" s="51"/>
      <c r="CS242" s="51"/>
      <c r="CT242" s="51"/>
      <c r="CU242" s="1"/>
      <c r="CV242" s="1"/>
      <c r="CW242" s="1"/>
      <c r="CX242" s="1"/>
      <c r="CY242" s="1"/>
      <c r="CZ242" s="1"/>
    </row>
    <row r="243" spans="1:104" ht="14.25" customHeight="1">
      <c r="A243" s="1"/>
      <c r="B243" s="2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  <c r="CM243" s="51"/>
      <c r="CN243" s="51"/>
      <c r="CO243" s="51"/>
      <c r="CP243" s="51"/>
      <c r="CQ243" s="51"/>
      <c r="CR243" s="51"/>
      <c r="CS243" s="51"/>
      <c r="CT243" s="51"/>
      <c r="CU243" s="1"/>
      <c r="CV243" s="1"/>
      <c r="CW243" s="1"/>
      <c r="CX243" s="1"/>
      <c r="CY243" s="1"/>
      <c r="CZ243" s="1"/>
    </row>
    <row r="244" spans="1:104" ht="14.25" customHeight="1">
      <c r="A244" s="1"/>
      <c r="B244" s="2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  <c r="CM244" s="51"/>
      <c r="CN244" s="51"/>
      <c r="CO244" s="51"/>
      <c r="CP244" s="51"/>
      <c r="CQ244" s="51"/>
      <c r="CR244" s="51"/>
      <c r="CS244" s="51"/>
      <c r="CT244" s="51"/>
      <c r="CU244" s="1"/>
      <c r="CV244" s="1"/>
      <c r="CW244" s="1"/>
      <c r="CX244" s="1"/>
      <c r="CY244" s="1"/>
      <c r="CZ244" s="1"/>
    </row>
    <row r="245" spans="1:104" ht="14.25" customHeight="1">
      <c r="A245" s="1"/>
      <c r="B245" s="2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51"/>
      <c r="CQ245" s="51"/>
      <c r="CR245" s="51"/>
      <c r="CS245" s="51"/>
      <c r="CT245" s="51"/>
      <c r="CU245" s="1"/>
      <c r="CV245" s="1"/>
      <c r="CW245" s="1"/>
      <c r="CX245" s="1"/>
      <c r="CY245" s="1"/>
      <c r="CZ245" s="1"/>
    </row>
    <row r="246" spans="1:104" ht="14.25" customHeight="1">
      <c r="A246" s="1"/>
      <c r="B246" s="2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/>
      <c r="CP246" s="51"/>
      <c r="CQ246" s="51"/>
      <c r="CR246" s="51"/>
      <c r="CS246" s="51"/>
      <c r="CT246" s="51"/>
      <c r="CU246" s="1"/>
      <c r="CV246" s="1"/>
      <c r="CW246" s="1"/>
      <c r="CX246" s="1"/>
      <c r="CY246" s="1"/>
      <c r="CZ246" s="1"/>
    </row>
    <row r="247" spans="1:104" ht="14.25" customHeight="1">
      <c r="A247" s="1"/>
      <c r="B247" s="2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  <c r="CQ247" s="51"/>
      <c r="CR247" s="51"/>
      <c r="CS247" s="51"/>
      <c r="CT247" s="51"/>
      <c r="CU247" s="1"/>
      <c r="CV247" s="1"/>
      <c r="CW247" s="1"/>
      <c r="CX247" s="1"/>
      <c r="CY247" s="1"/>
      <c r="CZ247" s="1"/>
    </row>
    <row r="248" spans="1:104" ht="14.25" customHeight="1">
      <c r="A248" s="1"/>
      <c r="B248" s="2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  <c r="CQ248" s="51"/>
      <c r="CR248" s="51"/>
      <c r="CS248" s="51"/>
      <c r="CT248" s="51"/>
      <c r="CU248" s="1"/>
      <c r="CV248" s="1"/>
      <c r="CW248" s="1"/>
      <c r="CX248" s="1"/>
      <c r="CY248" s="1"/>
      <c r="CZ248" s="1"/>
    </row>
    <row r="249" spans="1:104" ht="14.25" customHeight="1">
      <c r="A249" s="1"/>
      <c r="B249" s="2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  <c r="CQ249" s="51"/>
      <c r="CR249" s="51"/>
      <c r="CS249" s="51"/>
      <c r="CT249" s="51"/>
      <c r="CU249" s="1"/>
      <c r="CV249" s="1"/>
      <c r="CW249" s="1"/>
      <c r="CX249" s="1"/>
      <c r="CY249" s="1"/>
      <c r="CZ249" s="1"/>
    </row>
    <row r="250" spans="1:104" ht="14.25" customHeight="1">
      <c r="A250" s="1"/>
      <c r="B250" s="2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  <c r="CQ250" s="51"/>
      <c r="CR250" s="51"/>
      <c r="CS250" s="51"/>
      <c r="CT250" s="51"/>
      <c r="CU250" s="1"/>
      <c r="CV250" s="1"/>
      <c r="CW250" s="1"/>
      <c r="CX250" s="1"/>
      <c r="CY250" s="1"/>
      <c r="CZ250" s="1"/>
    </row>
    <row r="251" spans="1:104" ht="14.25" customHeight="1">
      <c r="A251" s="1"/>
      <c r="B251" s="2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  <c r="CQ251" s="51"/>
      <c r="CR251" s="51"/>
      <c r="CS251" s="51"/>
      <c r="CT251" s="51"/>
      <c r="CU251" s="1"/>
      <c r="CV251" s="1"/>
      <c r="CW251" s="1"/>
      <c r="CX251" s="1"/>
      <c r="CY251" s="1"/>
      <c r="CZ251" s="1"/>
    </row>
    <row r="252" spans="1:104" ht="14.25" customHeight="1">
      <c r="A252" s="1"/>
      <c r="B252" s="2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  <c r="CQ252" s="51"/>
      <c r="CR252" s="51"/>
      <c r="CS252" s="51"/>
      <c r="CT252" s="51"/>
      <c r="CU252" s="1"/>
      <c r="CV252" s="1"/>
      <c r="CW252" s="1"/>
      <c r="CX252" s="1"/>
      <c r="CY252" s="1"/>
      <c r="CZ252" s="1"/>
    </row>
    <row r="253" spans="1:104" ht="14.25" customHeight="1">
      <c r="A253" s="1"/>
      <c r="B253" s="2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  <c r="CQ253" s="51"/>
      <c r="CR253" s="51"/>
      <c r="CS253" s="51"/>
      <c r="CT253" s="51"/>
      <c r="CU253" s="1"/>
      <c r="CV253" s="1"/>
      <c r="CW253" s="1"/>
      <c r="CX253" s="1"/>
      <c r="CY253" s="1"/>
      <c r="CZ253" s="1"/>
    </row>
    <row r="254" spans="1:104" ht="14.25" customHeight="1">
      <c r="A254" s="1"/>
      <c r="B254" s="2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  <c r="CQ254" s="51"/>
      <c r="CR254" s="51"/>
      <c r="CS254" s="51"/>
      <c r="CT254" s="51"/>
      <c r="CU254" s="1"/>
      <c r="CV254" s="1"/>
      <c r="CW254" s="1"/>
      <c r="CX254" s="1"/>
      <c r="CY254" s="1"/>
      <c r="CZ254" s="1"/>
    </row>
    <row r="255" spans="1:104" ht="14.25" customHeight="1">
      <c r="A255" s="1"/>
      <c r="B255" s="2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  <c r="CQ255" s="51"/>
      <c r="CR255" s="51"/>
      <c r="CS255" s="51"/>
      <c r="CT255" s="51"/>
      <c r="CU255" s="1"/>
      <c r="CV255" s="1"/>
      <c r="CW255" s="1"/>
      <c r="CX255" s="1"/>
      <c r="CY255" s="1"/>
      <c r="CZ255" s="1"/>
    </row>
    <row r="256" spans="1:104" ht="14.25" customHeight="1">
      <c r="A256" s="1"/>
      <c r="B256" s="2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  <c r="CQ256" s="51"/>
      <c r="CR256" s="51"/>
      <c r="CS256" s="51"/>
      <c r="CT256" s="51"/>
      <c r="CU256" s="1"/>
      <c r="CV256" s="1"/>
      <c r="CW256" s="1"/>
      <c r="CX256" s="1"/>
      <c r="CY256" s="1"/>
      <c r="CZ256" s="1"/>
    </row>
    <row r="257" spans="1:104" ht="14.25" customHeight="1">
      <c r="A257" s="1"/>
      <c r="B257" s="2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  <c r="CQ257" s="51"/>
      <c r="CR257" s="51"/>
      <c r="CS257" s="51"/>
      <c r="CT257" s="51"/>
      <c r="CU257" s="1"/>
      <c r="CV257" s="1"/>
      <c r="CW257" s="1"/>
      <c r="CX257" s="1"/>
      <c r="CY257" s="1"/>
      <c r="CZ257" s="1"/>
    </row>
    <row r="258" spans="1:104" ht="14.25" customHeight="1">
      <c r="A258" s="1"/>
      <c r="B258" s="2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  <c r="CQ258" s="51"/>
      <c r="CR258" s="51"/>
      <c r="CS258" s="51"/>
      <c r="CT258" s="51"/>
      <c r="CU258" s="1"/>
      <c r="CV258" s="1"/>
      <c r="CW258" s="1"/>
      <c r="CX258" s="1"/>
      <c r="CY258" s="1"/>
      <c r="CZ258" s="1"/>
    </row>
    <row r="259" spans="1:104" ht="14.25" customHeight="1">
      <c r="A259" s="1"/>
      <c r="B259" s="2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51"/>
      <c r="CU259" s="1"/>
      <c r="CV259" s="1"/>
      <c r="CW259" s="1"/>
      <c r="CX259" s="1"/>
      <c r="CY259" s="1"/>
      <c r="CZ259" s="1"/>
    </row>
    <row r="260" spans="1:104" ht="14.25" customHeight="1">
      <c r="A260" s="1"/>
      <c r="B260" s="2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  <c r="CM260" s="51"/>
      <c r="CN260" s="51"/>
      <c r="CO260" s="51"/>
      <c r="CP260" s="51"/>
      <c r="CQ260" s="51"/>
      <c r="CR260" s="51"/>
      <c r="CS260" s="51"/>
      <c r="CT260" s="51"/>
      <c r="CU260" s="1"/>
      <c r="CV260" s="1"/>
      <c r="CW260" s="1"/>
      <c r="CX260" s="1"/>
      <c r="CY260" s="1"/>
      <c r="CZ260" s="1"/>
    </row>
    <row r="261" spans="1:104" ht="14.25" customHeight="1">
      <c r="A261" s="1"/>
      <c r="B261" s="2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  <c r="CM261" s="51"/>
      <c r="CN261" s="51"/>
      <c r="CO261" s="51"/>
      <c r="CP261" s="51"/>
      <c r="CQ261" s="51"/>
      <c r="CR261" s="51"/>
      <c r="CS261" s="51"/>
      <c r="CT261" s="51"/>
      <c r="CU261" s="1"/>
      <c r="CV261" s="1"/>
      <c r="CW261" s="1"/>
      <c r="CX261" s="1"/>
      <c r="CY261" s="1"/>
      <c r="CZ261" s="1"/>
    </row>
    <row r="262" spans="1:104" ht="14.25" customHeight="1">
      <c r="A262" s="1"/>
      <c r="B262" s="2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  <c r="CM262" s="51"/>
      <c r="CN262" s="51"/>
      <c r="CO262" s="51"/>
      <c r="CP262" s="51"/>
      <c r="CQ262" s="51"/>
      <c r="CR262" s="51"/>
      <c r="CS262" s="51"/>
      <c r="CT262" s="51"/>
      <c r="CU262" s="1"/>
      <c r="CV262" s="1"/>
      <c r="CW262" s="1"/>
      <c r="CX262" s="1"/>
      <c r="CY262" s="1"/>
      <c r="CZ262" s="1"/>
    </row>
    <row r="263" spans="1:104" ht="14.25" customHeight="1">
      <c r="A263" s="1"/>
      <c r="B263" s="2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  <c r="CM263" s="51"/>
      <c r="CN263" s="51"/>
      <c r="CO263" s="51"/>
      <c r="CP263" s="51"/>
      <c r="CQ263" s="51"/>
      <c r="CR263" s="51"/>
      <c r="CS263" s="51"/>
      <c r="CT263" s="51"/>
      <c r="CU263" s="1"/>
      <c r="CV263" s="1"/>
      <c r="CW263" s="1"/>
      <c r="CX263" s="1"/>
      <c r="CY263" s="1"/>
      <c r="CZ263" s="1"/>
    </row>
    <row r="264" spans="1:104" ht="14.25" customHeight="1">
      <c r="A264" s="1"/>
      <c r="B264" s="2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  <c r="CK264" s="51"/>
      <c r="CL264" s="51"/>
      <c r="CM264" s="51"/>
      <c r="CN264" s="51"/>
      <c r="CO264" s="51"/>
      <c r="CP264" s="51"/>
      <c r="CQ264" s="51"/>
      <c r="CR264" s="51"/>
      <c r="CS264" s="51"/>
      <c r="CT264" s="51"/>
      <c r="CU264" s="1"/>
      <c r="CV264" s="1"/>
      <c r="CW264" s="1"/>
      <c r="CX264" s="1"/>
      <c r="CY264" s="1"/>
      <c r="CZ264" s="1"/>
    </row>
    <row r="265" spans="1:104" ht="14.25" customHeight="1">
      <c r="A265" s="1"/>
      <c r="B265" s="2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  <c r="CM265" s="51"/>
      <c r="CN265" s="51"/>
      <c r="CO265" s="51"/>
      <c r="CP265" s="51"/>
      <c r="CQ265" s="51"/>
      <c r="CR265" s="51"/>
      <c r="CS265" s="51"/>
      <c r="CT265" s="51"/>
      <c r="CU265" s="1"/>
      <c r="CV265" s="1"/>
      <c r="CW265" s="1"/>
      <c r="CX265" s="1"/>
      <c r="CY265" s="1"/>
      <c r="CZ265" s="1"/>
    </row>
    <row r="266" spans="1:104" ht="14.25" customHeight="1">
      <c r="A266" s="1"/>
      <c r="B266" s="2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  <c r="CO266" s="51"/>
      <c r="CP266" s="51"/>
      <c r="CQ266" s="51"/>
      <c r="CR266" s="51"/>
      <c r="CS266" s="51"/>
      <c r="CT266" s="51"/>
      <c r="CU266" s="1"/>
      <c r="CV266" s="1"/>
      <c r="CW266" s="1"/>
      <c r="CX266" s="1"/>
      <c r="CY266" s="1"/>
      <c r="CZ266" s="1"/>
    </row>
    <row r="267" spans="1:104" ht="14.25" customHeight="1">
      <c r="A267" s="1"/>
      <c r="B267" s="2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  <c r="CQ267" s="51"/>
      <c r="CR267" s="51"/>
      <c r="CS267" s="51"/>
      <c r="CT267" s="51"/>
      <c r="CU267" s="1"/>
      <c r="CV267" s="1"/>
      <c r="CW267" s="1"/>
      <c r="CX267" s="1"/>
      <c r="CY267" s="1"/>
      <c r="CZ267" s="1"/>
    </row>
    <row r="268" spans="1:104" ht="14.25" customHeight="1">
      <c r="A268" s="1"/>
      <c r="B268" s="2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  <c r="CM268" s="51"/>
      <c r="CN268" s="51"/>
      <c r="CO268" s="51"/>
      <c r="CP268" s="51"/>
      <c r="CQ268" s="51"/>
      <c r="CR268" s="51"/>
      <c r="CS268" s="51"/>
      <c r="CT268" s="51"/>
      <c r="CU268" s="1"/>
      <c r="CV268" s="1"/>
      <c r="CW268" s="1"/>
      <c r="CX268" s="1"/>
      <c r="CY268" s="1"/>
      <c r="CZ268" s="1"/>
    </row>
    <row r="269" spans="1:104" ht="14.25" customHeight="1">
      <c r="A269" s="1"/>
      <c r="B269" s="2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  <c r="CM269" s="51"/>
      <c r="CN269" s="51"/>
      <c r="CO269" s="51"/>
      <c r="CP269" s="51"/>
      <c r="CQ269" s="51"/>
      <c r="CR269" s="51"/>
      <c r="CS269" s="51"/>
      <c r="CT269" s="51"/>
      <c r="CU269" s="1"/>
      <c r="CV269" s="1"/>
      <c r="CW269" s="1"/>
      <c r="CX269" s="1"/>
      <c r="CY269" s="1"/>
      <c r="CZ269" s="1"/>
    </row>
    <row r="270" spans="1:104" ht="14.25" customHeight="1">
      <c r="A270" s="1"/>
      <c r="B270" s="2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51"/>
      <c r="CU270" s="1"/>
      <c r="CV270" s="1"/>
      <c r="CW270" s="1"/>
      <c r="CX270" s="1"/>
      <c r="CY270" s="1"/>
      <c r="CZ270" s="1"/>
    </row>
    <row r="271" spans="1:104" ht="14.25" customHeight="1">
      <c r="A271" s="1"/>
      <c r="B271" s="2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  <c r="CM271" s="51"/>
      <c r="CN271" s="51"/>
      <c r="CO271" s="51"/>
      <c r="CP271" s="51"/>
      <c r="CQ271" s="51"/>
      <c r="CR271" s="51"/>
      <c r="CS271" s="51"/>
      <c r="CT271" s="51"/>
      <c r="CU271" s="1"/>
      <c r="CV271" s="1"/>
      <c r="CW271" s="1"/>
      <c r="CX271" s="1"/>
      <c r="CY271" s="1"/>
      <c r="CZ271" s="1"/>
    </row>
    <row r="272" spans="1:104" ht="14.25" customHeight="1">
      <c r="A272" s="1"/>
      <c r="B272" s="2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  <c r="CM272" s="51"/>
      <c r="CN272" s="51"/>
      <c r="CO272" s="51"/>
      <c r="CP272" s="51"/>
      <c r="CQ272" s="51"/>
      <c r="CR272" s="51"/>
      <c r="CS272" s="51"/>
      <c r="CT272" s="51"/>
      <c r="CU272" s="1"/>
      <c r="CV272" s="1"/>
      <c r="CW272" s="1"/>
      <c r="CX272" s="1"/>
      <c r="CY272" s="1"/>
      <c r="CZ272" s="1"/>
    </row>
    <row r="273" spans="1:104" ht="14.25" customHeight="1">
      <c r="A273" s="1"/>
      <c r="B273" s="2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  <c r="CQ273" s="51"/>
      <c r="CR273" s="51"/>
      <c r="CS273" s="51"/>
      <c r="CT273" s="51"/>
      <c r="CU273" s="1"/>
      <c r="CV273" s="1"/>
      <c r="CW273" s="1"/>
      <c r="CX273" s="1"/>
      <c r="CY273" s="1"/>
      <c r="CZ273" s="1"/>
    </row>
    <row r="274" spans="1:104" ht="14.25" customHeight="1">
      <c r="A274" s="1"/>
      <c r="B274" s="2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  <c r="CQ274" s="51"/>
      <c r="CR274" s="51"/>
      <c r="CS274" s="51"/>
      <c r="CT274" s="51"/>
      <c r="CU274" s="1"/>
      <c r="CV274" s="1"/>
      <c r="CW274" s="1"/>
      <c r="CX274" s="1"/>
      <c r="CY274" s="1"/>
      <c r="CZ274" s="1"/>
    </row>
    <row r="275" spans="1:104" ht="14.25" customHeight="1">
      <c r="A275" s="1"/>
      <c r="B275" s="2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  <c r="CQ275" s="51"/>
      <c r="CR275" s="51"/>
      <c r="CS275" s="51"/>
      <c r="CT275" s="51"/>
      <c r="CU275" s="1"/>
      <c r="CV275" s="1"/>
      <c r="CW275" s="1"/>
      <c r="CX275" s="1"/>
      <c r="CY275" s="1"/>
      <c r="CZ275" s="1"/>
    </row>
    <row r="276" spans="1:104" ht="14.25" customHeight="1">
      <c r="A276" s="1"/>
      <c r="B276" s="2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  <c r="CM276" s="51"/>
      <c r="CN276" s="51"/>
      <c r="CO276" s="51"/>
      <c r="CP276" s="51"/>
      <c r="CQ276" s="51"/>
      <c r="CR276" s="51"/>
      <c r="CS276" s="51"/>
      <c r="CT276" s="51"/>
      <c r="CU276" s="1"/>
      <c r="CV276" s="1"/>
      <c r="CW276" s="1"/>
      <c r="CX276" s="1"/>
      <c r="CY276" s="1"/>
      <c r="CZ276" s="1"/>
    </row>
    <row r="277" spans="1:104" ht="14.25" customHeight="1">
      <c r="A277" s="1"/>
      <c r="B277" s="2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  <c r="CQ277" s="51"/>
      <c r="CR277" s="51"/>
      <c r="CS277" s="51"/>
      <c r="CT277" s="51"/>
      <c r="CU277" s="1"/>
      <c r="CV277" s="1"/>
      <c r="CW277" s="1"/>
      <c r="CX277" s="1"/>
      <c r="CY277" s="1"/>
      <c r="CZ277" s="1"/>
    </row>
    <row r="278" spans="1:104" ht="14.25" customHeight="1">
      <c r="A278" s="1"/>
      <c r="B278" s="2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  <c r="CQ278" s="51"/>
      <c r="CR278" s="51"/>
      <c r="CS278" s="51"/>
      <c r="CT278" s="51"/>
      <c r="CU278" s="1"/>
      <c r="CV278" s="1"/>
      <c r="CW278" s="1"/>
      <c r="CX278" s="1"/>
      <c r="CY278" s="1"/>
      <c r="CZ278" s="1"/>
    </row>
    <row r="279" spans="1:104" ht="14.25" customHeight="1">
      <c r="A279" s="1"/>
      <c r="B279" s="2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  <c r="CQ279" s="51"/>
      <c r="CR279" s="51"/>
      <c r="CS279" s="51"/>
      <c r="CT279" s="51"/>
      <c r="CU279" s="1"/>
      <c r="CV279" s="1"/>
      <c r="CW279" s="1"/>
      <c r="CX279" s="1"/>
      <c r="CY279" s="1"/>
      <c r="CZ279" s="1"/>
    </row>
    <row r="280" spans="1:104" ht="14.25" customHeight="1">
      <c r="A280" s="1"/>
      <c r="B280" s="2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  <c r="CQ280" s="51"/>
      <c r="CR280" s="51"/>
      <c r="CS280" s="51"/>
      <c r="CT280" s="51"/>
      <c r="CU280" s="1"/>
      <c r="CV280" s="1"/>
      <c r="CW280" s="1"/>
      <c r="CX280" s="1"/>
      <c r="CY280" s="1"/>
      <c r="CZ280" s="1"/>
    </row>
    <row r="281" spans="1:104" ht="14.25" customHeight="1">
      <c r="A281" s="1"/>
      <c r="B281" s="2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51"/>
      <c r="CU281" s="1"/>
      <c r="CV281" s="1"/>
      <c r="CW281" s="1"/>
      <c r="CX281" s="1"/>
      <c r="CY281" s="1"/>
      <c r="CZ281" s="1"/>
    </row>
    <row r="282" spans="1:104" ht="14.25" customHeight="1">
      <c r="A282" s="1"/>
      <c r="B282" s="2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  <c r="CQ282" s="51"/>
      <c r="CR282" s="51"/>
      <c r="CS282" s="51"/>
      <c r="CT282" s="51"/>
      <c r="CU282" s="1"/>
      <c r="CV282" s="1"/>
      <c r="CW282" s="1"/>
      <c r="CX282" s="1"/>
      <c r="CY282" s="1"/>
      <c r="CZ282" s="1"/>
    </row>
    <row r="283" spans="1:104" ht="14.25" customHeight="1">
      <c r="A283" s="1"/>
      <c r="B283" s="2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  <c r="CQ283" s="51"/>
      <c r="CR283" s="51"/>
      <c r="CS283" s="51"/>
      <c r="CT283" s="51"/>
      <c r="CU283" s="1"/>
      <c r="CV283" s="1"/>
      <c r="CW283" s="1"/>
      <c r="CX283" s="1"/>
      <c r="CY283" s="1"/>
      <c r="CZ283" s="1"/>
    </row>
    <row r="284" spans="1:104" ht="14.25" customHeight="1">
      <c r="A284" s="1"/>
      <c r="B284" s="2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51"/>
      <c r="CU284" s="1"/>
      <c r="CV284" s="1"/>
      <c r="CW284" s="1"/>
      <c r="CX284" s="1"/>
      <c r="CY284" s="1"/>
      <c r="CZ284" s="1"/>
    </row>
    <row r="285" spans="1:104" ht="14.25" customHeight="1">
      <c r="A285" s="1"/>
      <c r="B285" s="2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51"/>
      <c r="CU285" s="1"/>
      <c r="CV285" s="1"/>
      <c r="CW285" s="1"/>
      <c r="CX285" s="1"/>
      <c r="CY285" s="1"/>
      <c r="CZ285" s="1"/>
    </row>
    <row r="286" spans="1:104" ht="14.25" customHeight="1">
      <c r="A286" s="1"/>
      <c r="B286" s="2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51"/>
      <c r="CU286" s="1"/>
      <c r="CV286" s="1"/>
      <c r="CW286" s="1"/>
      <c r="CX286" s="1"/>
      <c r="CY286" s="1"/>
      <c r="CZ286" s="1"/>
    </row>
    <row r="287" spans="1:104" ht="14.25" customHeight="1">
      <c r="A287" s="1"/>
      <c r="B287" s="2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51"/>
      <c r="CU287" s="1"/>
      <c r="CV287" s="1"/>
      <c r="CW287" s="1"/>
      <c r="CX287" s="1"/>
      <c r="CY287" s="1"/>
      <c r="CZ287" s="1"/>
    </row>
    <row r="288" spans="1:104" ht="14.25" customHeight="1">
      <c r="A288" s="1"/>
      <c r="B288" s="2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51"/>
      <c r="CU288" s="1"/>
      <c r="CV288" s="1"/>
      <c r="CW288" s="1"/>
      <c r="CX288" s="1"/>
      <c r="CY288" s="1"/>
      <c r="CZ288" s="1"/>
    </row>
    <row r="289" spans="1:104" ht="14.25" customHeight="1">
      <c r="A289" s="1"/>
      <c r="B289" s="2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51"/>
      <c r="CU289" s="1"/>
      <c r="CV289" s="1"/>
      <c r="CW289" s="1"/>
      <c r="CX289" s="1"/>
      <c r="CY289" s="1"/>
      <c r="CZ289" s="1"/>
    </row>
    <row r="290" spans="1:104" ht="14.25" customHeight="1">
      <c r="A290" s="1"/>
      <c r="B290" s="2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51"/>
      <c r="CU290" s="1"/>
      <c r="CV290" s="1"/>
      <c r="CW290" s="1"/>
      <c r="CX290" s="1"/>
      <c r="CY290" s="1"/>
      <c r="CZ290" s="1"/>
    </row>
    <row r="291" spans="1:104" ht="14.25" customHeight="1">
      <c r="A291" s="1"/>
      <c r="B291" s="2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  <c r="CQ291" s="51"/>
      <c r="CR291" s="51"/>
      <c r="CS291" s="51"/>
      <c r="CT291" s="51"/>
      <c r="CU291" s="1"/>
      <c r="CV291" s="1"/>
      <c r="CW291" s="1"/>
      <c r="CX291" s="1"/>
      <c r="CY291" s="1"/>
      <c r="CZ291" s="1"/>
    </row>
    <row r="292" spans="1:104" ht="14.25" customHeight="1">
      <c r="A292" s="1"/>
      <c r="B292" s="2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51"/>
      <c r="CU292" s="1"/>
      <c r="CV292" s="1"/>
      <c r="CW292" s="1"/>
      <c r="CX292" s="1"/>
      <c r="CY292" s="1"/>
      <c r="CZ292" s="1"/>
    </row>
    <row r="293" spans="1:104" ht="14.25" customHeight="1">
      <c r="A293" s="1"/>
      <c r="B293" s="2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  <c r="CQ293" s="51"/>
      <c r="CR293" s="51"/>
      <c r="CS293" s="51"/>
      <c r="CT293" s="51"/>
      <c r="CU293" s="1"/>
      <c r="CV293" s="1"/>
      <c r="CW293" s="1"/>
      <c r="CX293" s="1"/>
      <c r="CY293" s="1"/>
      <c r="CZ293" s="1"/>
    </row>
    <row r="294" spans="1:104" ht="14.25" customHeight="1">
      <c r="A294" s="1"/>
      <c r="B294" s="2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51"/>
      <c r="CU294" s="1"/>
      <c r="CV294" s="1"/>
      <c r="CW294" s="1"/>
      <c r="CX294" s="1"/>
      <c r="CY294" s="1"/>
      <c r="CZ294" s="1"/>
    </row>
    <row r="295" spans="1:104" ht="14.25" customHeight="1">
      <c r="A295" s="1"/>
      <c r="B295" s="2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  <c r="CQ295" s="51"/>
      <c r="CR295" s="51"/>
      <c r="CS295" s="51"/>
      <c r="CT295" s="51"/>
      <c r="CU295" s="1"/>
      <c r="CV295" s="1"/>
      <c r="CW295" s="1"/>
      <c r="CX295" s="1"/>
      <c r="CY295" s="1"/>
      <c r="CZ295" s="1"/>
    </row>
    <row r="296" spans="1:104" ht="14.25" customHeight="1">
      <c r="A296" s="1"/>
      <c r="B296" s="2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  <c r="CQ296" s="51"/>
      <c r="CR296" s="51"/>
      <c r="CS296" s="51"/>
      <c r="CT296" s="51"/>
      <c r="CU296" s="1"/>
      <c r="CV296" s="1"/>
      <c r="CW296" s="1"/>
      <c r="CX296" s="1"/>
      <c r="CY296" s="1"/>
      <c r="CZ296" s="1"/>
    </row>
    <row r="297" spans="1:104" ht="14.25" customHeight="1">
      <c r="A297" s="1"/>
      <c r="B297" s="2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  <c r="CQ297" s="51"/>
      <c r="CR297" s="51"/>
      <c r="CS297" s="51"/>
      <c r="CT297" s="51"/>
      <c r="CU297" s="1"/>
      <c r="CV297" s="1"/>
      <c r="CW297" s="1"/>
      <c r="CX297" s="1"/>
      <c r="CY297" s="1"/>
      <c r="CZ297" s="1"/>
    </row>
    <row r="298" spans="1:104" ht="14.25" customHeight="1">
      <c r="A298" s="1"/>
      <c r="B298" s="2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  <c r="CQ298" s="51"/>
      <c r="CR298" s="51"/>
      <c r="CS298" s="51"/>
      <c r="CT298" s="51"/>
      <c r="CU298" s="1"/>
      <c r="CV298" s="1"/>
      <c r="CW298" s="1"/>
      <c r="CX298" s="1"/>
      <c r="CY298" s="1"/>
      <c r="CZ298" s="1"/>
    </row>
    <row r="299" spans="1:104" ht="14.25" customHeight="1">
      <c r="A299" s="1"/>
      <c r="B299" s="2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  <c r="CQ299" s="51"/>
      <c r="CR299" s="51"/>
      <c r="CS299" s="51"/>
      <c r="CT299" s="51"/>
      <c r="CU299" s="1"/>
      <c r="CV299" s="1"/>
      <c r="CW299" s="1"/>
      <c r="CX299" s="1"/>
      <c r="CY299" s="1"/>
      <c r="CZ299" s="1"/>
    </row>
    <row r="300" spans="1:104" ht="14.25" customHeight="1">
      <c r="A300" s="1"/>
      <c r="B300" s="2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  <c r="CQ300" s="51"/>
      <c r="CR300" s="51"/>
      <c r="CS300" s="51"/>
      <c r="CT300" s="51"/>
      <c r="CU300" s="1"/>
      <c r="CV300" s="1"/>
      <c r="CW300" s="1"/>
      <c r="CX300" s="1"/>
      <c r="CY300" s="1"/>
      <c r="CZ300" s="1"/>
    </row>
    <row r="301" spans="1:104" ht="14.25" customHeight="1">
      <c r="A301" s="1"/>
      <c r="B301" s="2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  <c r="CM301" s="51"/>
      <c r="CN301" s="51"/>
      <c r="CO301" s="51"/>
      <c r="CP301" s="51"/>
      <c r="CQ301" s="51"/>
      <c r="CR301" s="51"/>
      <c r="CS301" s="51"/>
      <c r="CT301" s="51"/>
      <c r="CU301" s="1"/>
      <c r="CV301" s="1"/>
      <c r="CW301" s="1"/>
      <c r="CX301" s="1"/>
      <c r="CY301" s="1"/>
      <c r="CZ301" s="1"/>
    </row>
    <row r="302" spans="1:104" ht="14.25" customHeight="1">
      <c r="A302" s="1"/>
      <c r="B302" s="2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  <c r="CQ302" s="51"/>
      <c r="CR302" s="51"/>
      <c r="CS302" s="51"/>
      <c r="CT302" s="51"/>
      <c r="CU302" s="1"/>
      <c r="CV302" s="1"/>
      <c r="CW302" s="1"/>
      <c r="CX302" s="1"/>
      <c r="CY302" s="1"/>
      <c r="CZ302" s="1"/>
    </row>
    <row r="303" spans="1:104" ht="14.25" customHeight="1">
      <c r="A303" s="1"/>
      <c r="B303" s="2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51"/>
      <c r="CU303" s="1"/>
      <c r="CV303" s="1"/>
      <c r="CW303" s="1"/>
      <c r="CX303" s="1"/>
      <c r="CY303" s="1"/>
      <c r="CZ303" s="1"/>
    </row>
    <row r="304" spans="1:104" ht="14.25" customHeight="1">
      <c r="A304" s="1"/>
      <c r="B304" s="2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  <c r="CQ304" s="51"/>
      <c r="CR304" s="51"/>
      <c r="CS304" s="51"/>
      <c r="CT304" s="51"/>
      <c r="CU304" s="1"/>
      <c r="CV304" s="1"/>
      <c r="CW304" s="1"/>
      <c r="CX304" s="1"/>
      <c r="CY304" s="1"/>
      <c r="CZ304" s="1"/>
    </row>
    <row r="305" spans="1:104" ht="14.25" customHeight="1">
      <c r="A305" s="1"/>
      <c r="B305" s="2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  <c r="CQ305" s="51"/>
      <c r="CR305" s="51"/>
      <c r="CS305" s="51"/>
      <c r="CT305" s="51"/>
      <c r="CU305" s="1"/>
      <c r="CV305" s="1"/>
      <c r="CW305" s="1"/>
      <c r="CX305" s="1"/>
      <c r="CY305" s="1"/>
      <c r="CZ305" s="1"/>
    </row>
    <row r="306" spans="1:104" ht="14.25" customHeight="1">
      <c r="A306" s="1"/>
      <c r="B306" s="2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  <c r="CQ306" s="51"/>
      <c r="CR306" s="51"/>
      <c r="CS306" s="51"/>
      <c r="CT306" s="51"/>
      <c r="CU306" s="1"/>
      <c r="CV306" s="1"/>
      <c r="CW306" s="1"/>
      <c r="CX306" s="1"/>
      <c r="CY306" s="1"/>
      <c r="CZ306" s="1"/>
    </row>
    <row r="307" spans="1:104" ht="14.25" customHeight="1">
      <c r="A307" s="1"/>
      <c r="B307" s="2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  <c r="CQ307" s="51"/>
      <c r="CR307" s="51"/>
      <c r="CS307" s="51"/>
      <c r="CT307" s="51"/>
      <c r="CU307" s="1"/>
      <c r="CV307" s="1"/>
      <c r="CW307" s="1"/>
      <c r="CX307" s="1"/>
      <c r="CY307" s="1"/>
      <c r="CZ307" s="1"/>
    </row>
    <row r="308" spans="1:104" ht="14.25" customHeight="1">
      <c r="A308" s="1"/>
      <c r="B308" s="2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51"/>
      <c r="CU308" s="1"/>
      <c r="CV308" s="1"/>
      <c r="CW308" s="1"/>
      <c r="CX308" s="1"/>
      <c r="CY308" s="1"/>
      <c r="CZ308" s="1"/>
    </row>
    <row r="309" spans="1:104" ht="14.25" customHeight="1">
      <c r="A309" s="1"/>
      <c r="B309" s="2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51"/>
      <c r="CU309" s="1"/>
      <c r="CV309" s="1"/>
      <c r="CW309" s="1"/>
      <c r="CX309" s="1"/>
      <c r="CY309" s="1"/>
      <c r="CZ309" s="1"/>
    </row>
    <row r="310" spans="1:104" ht="14.25" customHeight="1">
      <c r="A310" s="1"/>
      <c r="B310" s="2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51"/>
      <c r="CU310" s="1"/>
      <c r="CV310" s="1"/>
      <c r="CW310" s="1"/>
      <c r="CX310" s="1"/>
      <c r="CY310" s="1"/>
      <c r="CZ310" s="1"/>
    </row>
    <row r="311" spans="1:104" ht="14.25" customHeight="1">
      <c r="A311" s="1"/>
      <c r="B311" s="2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51"/>
      <c r="CU311" s="1"/>
      <c r="CV311" s="1"/>
      <c r="CW311" s="1"/>
      <c r="CX311" s="1"/>
      <c r="CY311" s="1"/>
      <c r="CZ311" s="1"/>
    </row>
    <row r="312" spans="1:104" ht="14.25" customHeight="1">
      <c r="A312" s="1"/>
      <c r="B312" s="2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51"/>
      <c r="CU312" s="1"/>
      <c r="CV312" s="1"/>
      <c r="CW312" s="1"/>
      <c r="CX312" s="1"/>
      <c r="CY312" s="1"/>
      <c r="CZ312" s="1"/>
    </row>
    <row r="313" spans="1:104" ht="14.25" customHeight="1">
      <c r="A313" s="1"/>
      <c r="B313" s="2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51"/>
      <c r="CU313" s="1"/>
      <c r="CV313" s="1"/>
      <c r="CW313" s="1"/>
      <c r="CX313" s="1"/>
      <c r="CY313" s="1"/>
      <c r="CZ313" s="1"/>
    </row>
    <row r="314" spans="1:104" ht="14.25" customHeight="1">
      <c r="A314" s="1"/>
      <c r="B314" s="2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51"/>
      <c r="CU314" s="1"/>
      <c r="CV314" s="1"/>
      <c r="CW314" s="1"/>
      <c r="CX314" s="1"/>
      <c r="CY314" s="1"/>
      <c r="CZ314" s="1"/>
    </row>
    <row r="315" spans="1:104" ht="14.25" customHeight="1">
      <c r="A315" s="1"/>
      <c r="B315" s="2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51"/>
      <c r="CU315" s="1"/>
      <c r="CV315" s="1"/>
      <c r="CW315" s="1"/>
      <c r="CX315" s="1"/>
      <c r="CY315" s="1"/>
      <c r="CZ315" s="1"/>
    </row>
    <row r="316" spans="1:104" ht="14.25" customHeight="1">
      <c r="A316" s="1"/>
      <c r="B316" s="2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51"/>
      <c r="CU316" s="1"/>
      <c r="CV316" s="1"/>
      <c r="CW316" s="1"/>
      <c r="CX316" s="1"/>
      <c r="CY316" s="1"/>
      <c r="CZ316" s="1"/>
    </row>
    <row r="317" spans="1:104" ht="14.25" customHeight="1">
      <c r="A317" s="1"/>
      <c r="B317" s="2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51"/>
      <c r="CU317" s="1"/>
      <c r="CV317" s="1"/>
      <c r="CW317" s="1"/>
      <c r="CX317" s="1"/>
      <c r="CY317" s="1"/>
      <c r="CZ317" s="1"/>
    </row>
    <row r="318" spans="1:104" ht="14.25" customHeight="1">
      <c r="A318" s="1"/>
      <c r="B318" s="2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51"/>
      <c r="CU318" s="1"/>
      <c r="CV318" s="1"/>
      <c r="CW318" s="1"/>
      <c r="CX318" s="1"/>
      <c r="CY318" s="1"/>
      <c r="CZ318" s="1"/>
    </row>
    <row r="319" spans="1:104" ht="14.25" customHeight="1">
      <c r="A319" s="1"/>
      <c r="B319" s="2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1"/>
      <c r="CV319" s="1"/>
      <c r="CW319" s="1"/>
      <c r="CX319" s="1"/>
      <c r="CY319" s="1"/>
      <c r="CZ319" s="1"/>
    </row>
    <row r="320" spans="1:104" ht="14.25" customHeight="1">
      <c r="A320" s="1"/>
      <c r="B320" s="2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51"/>
      <c r="CU320" s="1"/>
      <c r="CV320" s="1"/>
      <c r="CW320" s="1"/>
      <c r="CX320" s="1"/>
      <c r="CY320" s="1"/>
      <c r="CZ320" s="1"/>
    </row>
    <row r="321" spans="1:104" ht="14.25" customHeight="1">
      <c r="A321" s="1"/>
      <c r="B321" s="2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51"/>
      <c r="CU321" s="1"/>
      <c r="CV321" s="1"/>
      <c r="CW321" s="1"/>
      <c r="CX321" s="1"/>
      <c r="CY321" s="1"/>
      <c r="CZ321" s="1"/>
    </row>
    <row r="322" spans="1:104" ht="14.25" customHeight="1">
      <c r="A322" s="1"/>
      <c r="B322" s="2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51"/>
      <c r="CU322" s="1"/>
      <c r="CV322" s="1"/>
      <c r="CW322" s="1"/>
      <c r="CX322" s="1"/>
      <c r="CY322" s="1"/>
      <c r="CZ322" s="1"/>
    </row>
    <row r="323" spans="1:104" ht="14.25" customHeight="1">
      <c r="A323" s="1"/>
      <c r="B323" s="2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51"/>
      <c r="CU323" s="1"/>
      <c r="CV323" s="1"/>
      <c r="CW323" s="1"/>
      <c r="CX323" s="1"/>
      <c r="CY323" s="1"/>
      <c r="CZ323" s="1"/>
    </row>
    <row r="324" spans="1:104" ht="14.25" customHeight="1">
      <c r="A324" s="1"/>
      <c r="B324" s="2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51"/>
      <c r="CU324" s="1"/>
      <c r="CV324" s="1"/>
      <c r="CW324" s="1"/>
      <c r="CX324" s="1"/>
      <c r="CY324" s="1"/>
      <c r="CZ324" s="1"/>
    </row>
    <row r="325" spans="1:104" ht="14.25" customHeight="1">
      <c r="A325" s="1"/>
      <c r="B325" s="2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1"/>
      <c r="CV325" s="1"/>
      <c r="CW325" s="1"/>
      <c r="CX325" s="1"/>
      <c r="CY325" s="1"/>
      <c r="CZ325" s="1"/>
    </row>
    <row r="326" spans="1:104" ht="14.25" customHeight="1">
      <c r="A326" s="1"/>
      <c r="B326" s="2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51"/>
      <c r="CU326" s="1"/>
      <c r="CV326" s="1"/>
      <c r="CW326" s="1"/>
      <c r="CX326" s="1"/>
      <c r="CY326" s="1"/>
      <c r="CZ326" s="1"/>
    </row>
    <row r="327" spans="1:104" ht="14.25" customHeight="1">
      <c r="A327" s="1"/>
      <c r="B327" s="2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51"/>
      <c r="CU327" s="1"/>
      <c r="CV327" s="1"/>
      <c r="CW327" s="1"/>
      <c r="CX327" s="1"/>
      <c r="CY327" s="1"/>
      <c r="CZ327" s="1"/>
    </row>
    <row r="328" spans="1:104" ht="14.25" customHeight="1">
      <c r="A328" s="1"/>
      <c r="B328" s="2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1"/>
      <c r="CV328" s="1"/>
      <c r="CW328" s="1"/>
      <c r="CX328" s="1"/>
      <c r="CY328" s="1"/>
      <c r="CZ328" s="1"/>
    </row>
    <row r="329" spans="1:104" ht="14.25" customHeight="1">
      <c r="A329" s="1"/>
      <c r="B329" s="2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1"/>
      <c r="CV329" s="1"/>
      <c r="CW329" s="1"/>
      <c r="CX329" s="1"/>
      <c r="CY329" s="1"/>
      <c r="CZ329" s="1"/>
    </row>
    <row r="330" spans="1:104" ht="14.25" customHeight="1">
      <c r="A330" s="1"/>
      <c r="B330" s="2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51"/>
      <c r="CU330" s="1"/>
      <c r="CV330" s="1"/>
      <c r="CW330" s="1"/>
      <c r="CX330" s="1"/>
      <c r="CY330" s="1"/>
      <c r="CZ330" s="1"/>
    </row>
    <row r="331" spans="1:104" ht="14.25" customHeight="1">
      <c r="A331" s="1"/>
      <c r="B331" s="2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51"/>
      <c r="CU331" s="1"/>
      <c r="CV331" s="1"/>
      <c r="CW331" s="1"/>
      <c r="CX331" s="1"/>
      <c r="CY331" s="1"/>
      <c r="CZ331" s="1"/>
    </row>
    <row r="332" spans="1:104" ht="14.25" customHeight="1">
      <c r="A332" s="1"/>
      <c r="B332" s="2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1"/>
      <c r="CV332" s="1"/>
      <c r="CW332" s="1"/>
      <c r="CX332" s="1"/>
      <c r="CY332" s="1"/>
      <c r="CZ332" s="1"/>
    </row>
    <row r="333" spans="1:104" ht="14.25" customHeight="1">
      <c r="A333" s="1"/>
      <c r="B333" s="2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51"/>
      <c r="CU333" s="1"/>
      <c r="CV333" s="1"/>
      <c r="CW333" s="1"/>
      <c r="CX333" s="1"/>
      <c r="CY333" s="1"/>
      <c r="CZ333" s="1"/>
    </row>
    <row r="334" spans="1:104" ht="14.25" customHeight="1">
      <c r="A334" s="1"/>
      <c r="B334" s="2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51"/>
      <c r="CU334" s="1"/>
      <c r="CV334" s="1"/>
      <c r="CW334" s="1"/>
      <c r="CX334" s="1"/>
      <c r="CY334" s="1"/>
      <c r="CZ334" s="1"/>
    </row>
    <row r="335" spans="1:104" ht="14.25" customHeight="1">
      <c r="A335" s="1"/>
      <c r="B335" s="2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51"/>
      <c r="CU335" s="1"/>
      <c r="CV335" s="1"/>
      <c r="CW335" s="1"/>
      <c r="CX335" s="1"/>
      <c r="CY335" s="1"/>
      <c r="CZ335" s="1"/>
    </row>
    <row r="336" spans="1:104" ht="14.25" customHeight="1">
      <c r="A336" s="1"/>
      <c r="B336" s="2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1"/>
      <c r="CV336" s="1"/>
      <c r="CW336" s="1"/>
      <c r="CX336" s="1"/>
      <c r="CY336" s="1"/>
      <c r="CZ336" s="1"/>
    </row>
    <row r="337" spans="1:104" ht="14.25" customHeight="1">
      <c r="A337" s="1"/>
      <c r="B337" s="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51"/>
      <c r="CU337" s="1"/>
      <c r="CV337" s="1"/>
      <c r="CW337" s="1"/>
      <c r="CX337" s="1"/>
      <c r="CY337" s="1"/>
      <c r="CZ337" s="1"/>
    </row>
    <row r="338" spans="1:104" ht="14.25" customHeight="1">
      <c r="A338" s="1"/>
      <c r="B338" s="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  <c r="CQ338" s="51"/>
      <c r="CR338" s="51"/>
      <c r="CS338" s="51"/>
      <c r="CT338" s="51"/>
      <c r="CU338" s="1"/>
      <c r="CV338" s="1"/>
      <c r="CW338" s="1"/>
      <c r="CX338" s="1"/>
      <c r="CY338" s="1"/>
      <c r="CZ338" s="1"/>
    </row>
    <row r="339" spans="1:104" ht="14.25" customHeight="1">
      <c r="A339" s="1"/>
      <c r="B339" s="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  <c r="CQ339" s="51"/>
      <c r="CR339" s="51"/>
      <c r="CS339" s="51"/>
      <c r="CT339" s="51"/>
      <c r="CU339" s="1"/>
      <c r="CV339" s="1"/>
      <c r="CW339" s="1"/>
      <c r="CX339" s="1"/>
      <c r="CY339" s="1"/>
      <c r="CZ339" s="1"/>
    </row>
    <row r="340" spans="1:104" ht="14.25" customHeight="1">
      <c r="A340" s="1"/>
      <c r="B340" s="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  <c r="CQ340" s="51"/>
      <c r="CR340" s="51"/>
      <c r="CS340" s="51"/>
      <c r="CT340" s="51"/>
      <c r="CU340" s="1"/>
      <c r="CV340" s="1"/>
      <c r="CW340" s="1"/>
      <c r="CX340" s="1"/>
      <c r="CY340" s="1"/>
      <c r="CZ340" s="1"/>
    </row>
    <row r="341" spans="1:104" ht="14.25" customHeight="1">
      <c r="A341" s="1"/>
      <c r="B341" s="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  <c r="CQ341" s="51"/>
      <c r="CR341" s="51"/>
      <c r="CS341" s="51"/>
      <c r="CT341" s="51"/>
      <c r="CU341" s="1"/>
      <c r="CV341" s="1"/>
      <c r="CW341" s="1"/>
      <c r="CX341" s="1"/>
      <c r="CY341" s="1"/>
      <c r="CZ341" s="1"/>
    </row>
    <row r="342" spans="1:104" ht="14.25" customHeight="1">
      <c r="A342" s="1"/>
      <c r="B342" s="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  <c r="CQ342" s="51"/>
      <c r="CR342" s="51"/>
      <c r="CS342" s="51"/>
      <c r="CT342" s="51"/>
      <c r="CU342" s="1"/>
      <c r="CV342" s="1"/>
      <c r="CW342" s="1"/>
      <c r="CX342" s="1"/>
      <c r="CY342" s="1"/>
      <c r="CZ342" s="1"/>
    </row>
    <row r="343" spans="1:104" ht="14.25" customHeight="1">
      <c r="A343" s="1"/>
      <c r="B343" s="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  <c r="CQ343" s="51"/>
      <c r="CR343" s="51"/>
      <c r="CS343" s="51"/>
      <c r="CT343" s="51"/>
      <c r="CU343" s="1"/>
      <c r="CV343" s="1"/>
      <c r="CW343" s="1"/>
      <c r="CX343" s="1"/>
      <c r="CY343" s="1"/>
      <c r="CZ343" s="1"/>
    </row>
    <row r="344" spans="1:104" ht="14.25" customHeight="1">
      <c r="A344" s="1"/>
      <c r="B344" s="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  <c r="CQ344" s="51"/>
      <c r="CR344" s="51"/>
      <c r="CS344" s="51"/>
      <c r="CT344" s="51"/>
      <c r="CU344" s="1"/>
      <c r="CV344" s="1"/>
      <c r="CW344" s="1"/>
      <c r="CX344" s="1"/>
      <c r="CY344" s="1"/>
      <c r="CZ344" s="1"/>
    </row>
    <row r="345" spans="1:104" ht="14.25" customHeight="1">
      <c r="A345" s="1"/>
      <c r="B345" s="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  <c r="CQ345" s="51"/>
      <c r="CR345" s="51"/>
      <c r="CS345" s="51"/>
      <c r="CT345" s="51"/>
      <c r="CU345" s="1"/>
      <c r="CV345" s="1"/>
      <c r="CW345" s="1"/>
      <c r="CX345" s="1"/>
      <c r="CY345" s="1"/>
      <c r="CZ345" s="1"/>
    </row>
    <row r="346" spans="1:104" ht="14.25" customHeight="1">
      <c r="A346" s="1"/>
      <c r="B346" s="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  <c r="CQ346" s="51"/>
      <c r="CR346" s="51"/>
      <c r="CS346" s="51"/>
      <c r="CT346" s="51"/>
      <c r="CU346" s="1"/>
      <c r="CV346" s="1"/>
      <c r="CW346" s="1"/>
      <c r="CX346" s="1"/>
      <c r="CY346" s="1"/>
      <c r="CZ346" s="1"/>
    </row>
    <row r="347" spans="1:104" ht="14.25" customHeight="1">
      <c r="A347" s="1"/>
      <c r="B347" s="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51"/>
      <c r="CU347" s="1"/>
      <c r="CV347" s="1"/>
      <c r="CW347" s="1"/>
      <c r="CX347" s="1"/>
      <c r="CY347" s="1"/>
      <c r="CZ347" s="1"/>
    </row>
    <row r="348" spans="1:104" ht="14.25" customHeight="1">
      <c r="A348" s="1"/>
      <c r="B348" s="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  <c r="CQ348" s="51"/>
      <c r="CR348" s="51"/>
      <c r="CS348" s="51"/>
      <c r="CT348" s="51"/>
      <c r="CU348" s="1"/>
      <c r="CV348" s="1"/>
      <c r="CW348" s="1"/>
      <c r="CX348" s="1"/>
      <c r="CY348" s="1"/>
      <c r="CZ348" s="1"/>
    </row>
    <row r="349" spans="1:104" ht="14.25" customHeight="1">
      <c r="A349" s="1"/>
      <c r="B349" s="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  <c r="CQ349" s="51"/>
      <c r="CR349" s="51"/>
      <c r="CS349" s="51"/>
      <c r="CT349" s="51"/>
      <c r="CU349" s="1"/>
      <c r="CV349" s="1"/>
      <c r="CW349" s="1"/>
      <c r="CX349" s="1"/>
      <c r="CY349" s="1"/>
      <c r="CZ349" s="1"/>
    </row>
    <row r="350" spans="1:104" ht="14.25" customHeight="1">
      <c r="A350" s="1"/>
      <c r="B350" s="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  <c r="CQ350" s="51"/>
      <c r="CR350" s="51"/>
      <c r="CS350" s="51"/>
      <c r="CT350" s="51"/>
      <c r="CU350" s="1"/>
      <c r="CV350" s="1"/>
      <c r="CW350" s="1"/>
      <c r="CX350" s="1"/>
      <c r="CY350" s="1"/>
      <c r="CZ350" s="1"/>
    </row>
    <row r="351" spans="1:104" ht="14.25" customHeight="1">
      <c r="A351" s="1"/>
      <c r="B351" s="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  <c r="CQ351" s="51"/>
      <c r="CR351" s="51"/>
      <c r="CS351" s="51"/>
      <c r="CT351" s="51"/>
      <c r="CU351" s="1"/>
      <c r="CV351" s="1"/>
      <c r="CW351" s="1"/>
      <c r="CX351" s="1"/>
      <c r="CY351" s="1"/>
      <c r="CZ351" s="1"/>
    </row>
    <row r="352" spans="1:104" ht="14.25" customHeight="1">
      <c r="A352" s="1"/>
      <c r="B352" s="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  <c r="CQ352" s="51"/>
      <c r="CR352" s="51"/>
      <c r="CS352" s="51"/>
      <c r="CT352" s="51"/>
      <c r="CU352" s="1"/>
      <c r="CV352" s="1"/>
      <c r="CW352" s="1"/>
      <c r="CX352" s="1"/>
      <c r="CY352" s="1"/>
      <c r="CZ352" s="1"/>
    </row>
    <row r="353" spans="1:104" ht="14.25" customHeight="1">
      <c r="A353" s="1"/>
      <c r="B353" s="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  <c r="CQ353" s="51"/>
      <c r="CR353" s="51"/>
      <c r="CS353" s="51"/>
      <c r="CT353" s="51"/>
      <c r="CU353" s="1"/>
      <c r="CV353" s="1"/>
      <c r="CW353" s="1"/>
      <c r="CX353" s="1"/>
      <c r="CY353" s="1"/>
      <c r="CZ353" s="1"/>
    </row>
    <row r="354" spans="1:104" ht="14.25" customHeight="1">
      <c r="A354" s="1"/>
      <c r="B354" s="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  <c r="CQ354" s="51"/>
      <c r="CR354" s="51"/>
      <c r="CS354" s="51"/>
      <c r="CT354" s="51"/>
      <c r="CU354" s="1"/>
      <c r="CV354" s="1"/>
      <c r="CW354" s="1"/>
      <c r="CX354" s="1"/>
      <c r="CY354" s="1"/>
      <c r="CZ354" s="1"/>
    </row>
    <row r="355" spans="1:104" ht="14.25" customHeight="1">
      <c r="A355" s="1"/>
      <c r="B355" s="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  <c r="CQ355" s="51"/>
      <c r="CR355" s="51"/>
      <c r="CS355" s="51"/>
      <c r="CT355" s="51"/>
      <c r="CU355" s="1"/>
      <c r="CV355" s="1"/>
      <c r="CW355" s="1"/>
      <c r="CX355" s="1"/>
      <c r="CY355" s="1"/>
      <c r="CZ355" s="1"/>
    </row>
    <row r="356" spans="1:104" ht="14.25" customHeight="1">
      <c r="A356" s="1"/>
      <c r="B356" s="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  <c r="CQ356" s="51"/>
      <c r="CR356" s="51"/>
      <c r="CS356" s="51"/>
      <c r="CT356" s="51"/>
      <c r="CU356" s="1"/>
      <c r="CV356" s="1"/>
      <c r="CW356" s="1"/>
      <c r="CX356" s="1"/>
      <c r="CY356" s="1"/>
      <c r="CZ356" s="1"/>
    </row>
    <row r="357" spans="1:104" ht="14.25" customHeight="1">
      <c r="A357" s="1"/>
      <c r="B357" s="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  <c r="CE357" s="51"/>
      <c r="CF357" s="51"/>
      <c r="CG357" s="51"/>
      <c r="CH357" s="51"/>
      <c r="CI357" s="51"/>
      <c r="CJ357" s="51"/>
      <c r="CK357" s="51"/>
      <c r="CL357" s="51"/>
      <c r="CM357" s="51"/>
      <c r="CN357" s="51"/>
      <c r="CO357" s="51"/>
      <c r="CP357" s="51"/>
      <c r="CQ357" s="51"/>
      <c r="CR357" s="51"/>
      <c r="CS357" s="51"/>
      <c r="CT357" s="51"/>
      <c r="CU357" s="1"/>
      <c r="CV357" s="1"/>
      <c r="CW357" s="1"/>
      <c r="CX357" s="1"/>
      <c r="CY357" s="1"/>
      <c r="CZ357" s="1"/>
    </row>
    <row r="358" spans="1:104" ht="14.25" customHeight="1">
      <c r="A358" s="1"/>
      <c r="B358" s="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51"/>
      <c r="CU358" s="1"/>
      <c r="CV358" s="1"/>
      <c r="CW358" s="1"/>
      <c r="CX358" s="1"/>
      <c r="CY358" s="1"/>
      <c r="CZ358" s="1"/>
    </row>
    <row r="359" spans="1:104" ht="14.25" customHeight="1">
      <c r="A359" s="1"/>
      <c r="B359" s="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  <c r="CQ359" s="51"/>
      <c r="CR359" s="51"/>
      <c r="CS359" s="51"/>
      <c r="CT359" s="51"/>
      <c r="CU359" s="1"/>
      <c r="CV359" s="1"/>
      <c r="CW359" s="1"/>
      <c r="CX359" s="1"/>
      <c r="CY359" s="1"/>
      <c r="CZ359" s="1"/>
    </row>
    <row r="360" spans="1:104" ht="14.25" customHeight="1">
      <c r="A360" s="1"/>
      <c r="B360" s="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  <c r="CQ360" s="51"/>
      <c r="CR360" s="51"/>
      <c r="CS360" s="51"/>
      <c r="CT360" s="51"/>
      <c r="CU360" s="1"/>
      <c r="CV360" s="1"/>
      <c r="CW360" s="1"/>
      <c r="CX360" s="1"/>
      <c r="CY360" s="1"/>
      <c r="CZ360" s="1"/>
    </row>
    <row r="361" spans="1:104" ht="14.25" customHeight="1">
      <c r="A361" s="1"/>
      <c r="B361" s="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  <c r="CQ361" s="51"/>
      <c r="CR361" s="51"/>
      <c r="CS361" s="51"/>
      <c r="CT361" s="51"/>
      <c r="CU361" s="1"/>
      <c r="CV361" s="1"/>
      <c r="CW361" s="1"/>
      <c r="CX361" s="1"/>
      <c r="CY361" s="1"/>
      <c r="CZ361" s="1"/>
    </row>
    <row r="362" spans="1:104" ht="14.25" customHeight="1">
      <c r="A362" s="1"/>
      <c r="B362" s="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  <c r="CQ362" s="51"/>
      <c r="CR362" s="51"/>
      <c r="CS362" s="51"/>
      <c r="CT362" s="51"/>
      <c r="CU362" s="1"/>
      <c r="CV362" s="1"/>
      <c r="CW362" s="1"/>
      <c r="CX362" s="1"/>
      <c r="CY362" s="1"/>
      <c r="CZ362" s="1"/>
    </row>
    <row r="363" spans="1:104" ht="14.25" customHeight="1">
      <c r="A363" s="1"/>
      <c r="B363" s="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  <c r="CQ363" s="51"/>
      <c r="CR363" s="51"/>
      <c r="CS363" s="51"/>
      <c r="CT363" s="51"/>
      <c r="CU363" s="1"/>
      <c r="CV363" s="1"/>
      <c r="CW363" s="1"/>
      <c r="CX363" s="1"/>
      <c r="CY363" s="1"/>
      <c r="CZ363" s="1"/>
    </row>
    <row r="364" spans="1:104" ht="14.25" customHeight="1">
      <c r="A364" s="1"/>
      <c r="B364" s="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  <c r="CQ364" s="51"/>
      <c r="CR364" s="51"/>
      <c r="CS364" s="51"/>
      <c r="CT364" s="51"/>
      <c r="CU364" s="1"/>
      <c r="CV364" s="1"/>
      <c r="CW364" s="1"/>
      <c r="CX364" s="1"/>
      <c r="CY364" s="1"/>
      <c r="CZ364" s="1"/>
    </row>
    <row r="365" spans="1:104" ht="14.25" customHeight="1">
      <c r="A365" s="1"/>
      <c r="B365" s="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  <c r="CQ365" s="51"/>
      <c r="CR365" s="51"/>
      <c r="CS365" s="51"/>
      <c r="CT365" s="51"/>
      <c r="CU365" s="1"/>
      <c r="CV365" s="1"/>
      <c r="CW365" s="1"/>
      <c r="CX365" s="1"/>
      <c r="CY365" s="1"/>
      <c r="CZ365" s="1"/>
    </row>
    <row r="366" spans="1:104" ht="14.25" customHeight="1">
      <c r="A366" s="1"/>
      <c r="B366" s="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  <c r="CQ366" s="51"/>
      <c r="CR366" s="51"/>
      <c r="CS366" s="51"/>
      <c r="CT366" s="51"/>
      <c r="CU366" s="1"/>
      <c r="CV366" s="1"/>
      <c r="CW366" s="1"/>
      <c r="CX366" s="1"/>
      <c r="CY366" s="1"/>
      <c r="CZ366" s="1"/>
    </row>
    <row r="367" spans="1:104" ht="14.25" customHeight="1">
      <c r="A367" s="1"/>
      <c r="B367" s="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  <c r="CE367" s="51"/>
      <c r="CF367" s="51"/>
      <c r="CG367" s="51"/>
      <c r="CH367" s="51"/>
      <c r="CI367" s="51"/>
      <c r="CJ367" s="51"/>
      <c r="CK367" s="51"/>
      <c r="CL367" s="51"/>
      <c r="CM367" s="51"/>
      <c r="CN367" s="51"/>
      <c r="CO367" s="51"/>
      <c r="CP367" s="51"/>
      <c r="CQ367" s="51"/>
      <c r="CR367" s="51"/>
      <c r="CS367" s="51"/>
      <c r="CT367" s="51"/>
      <c r="CU367" s="1"/>
      <c r="CV367" s="1"/>
      <c r="CW367" s="1"/>
      <c r="CX367" s="1"/>
      <c r="CY367" s="1"/>
      <c r="CZ367" s="1"/>
    </row>
    <row r="368" spans="1:104" ht="14.25" customHeight="1">
      <c r="A368" s="1"/>
      <c r="B368" s="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  <c r="CE368" s="51"/>
      <c r="CF368" s="51"/>
      <c r="CG368" s="51"/>
      <c r="CH368" s="51"/>
      <c r="CI368" s="51"/>
      <c r="CJ368" s="51"/>
      <c r="CK368" s="51"/>
      <c r="CL368" s="51"/>
      <c r="CM368" s="51"/>
      <c r="CN368" s="51"/>
      <c r="CO368" s="51"/>
      <c r="CP368" s="51"/>
      <c r="CQ368" s="51"/>
      <c r="CR368" s="51"/>
      <c r="CS368" s="51"/>
      <c r="CT368" s="51"/>
      <c r="CU368" s="1"/>
      <c r="CV368" s="1"/>
      <c r="CW368" s="1"/>
      <c r="CX368" s="1"/>
      <c r="CY368" s="1"/>
      <c r="CZ368" s="1"/>
    </row>
    <row r="369" spans="1:104" ht="14.25" customHeight="1">
      <c r="A369" s="1"/>
      <c r="B369" s="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  <c r="CQ369" s="51"/>
      <c r="CR369" s="51"/>
      <c r="CS369" s="51"/>
      <c r="CT369" s="51"/>
      <c r="CU369" s="1"/>
      <c r="CV369" s="1"/>
      <c r="CW369" s="1"/>
      <c r="CX369" s="1"/>
      <c r="CY369" s="1"/>
      <c r="CZ369" s="1"/>
    </row>
    <row r="370" spans="1:104" ht="14.25" customHeight="1">
      <c r="A370" s="1"/>
      <c r="B370" s="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  <c r="CE370" s="51"/>
      <c r="CF370" s="51"/>
      <c r="CG370" s="51"/>
      <c r="CH370" s="51"/>
      <c r="CI370" s="51"/>
      <c r="CJ370" s="51"/>
      <c r="CK370" s="51"/>
      <c r="CL370" s="51"/>
      <c r="CM370" s="51"/>
      <c r="CN370" s="51"/>
      <c r="CO370" s="51"/>
      <c r="CP370" s="51"/>
      <c r="CQ370" s="51"/>
      <c r="CR370" s="51"/>
      <c r="CS370" s="51"/>
      <c r="CT370" s="51"/>
      <c r="CU370" s="1"/>
      <c r="CV370" s="1"/>
      <c r="CW370" s="1"/>
      <c r="CX370" s="1"/>
      <c r="CY370" s="1"/>
      <c r="CZ370" s="1"/>
    </row>
    <row r="371" spans="1:104" ht="14.25" customHeight="1">
      <c r="A371" s="1"/>
      <c r="B371" s="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51"/>
      <c r="CQ371" s="51"/>
      <c r="CR371" s="51"/>
      <c r="CS371" s="51"/>
      <c r="CT371" s="51"/>
      <c r="CU371" s="1"/>
      <c r="CV371" s="1"/>
      <c r="CW371" s="1"/>
      <c r="CX371" s="1"/>
      <c r="CY371" s="1"/>
      <c r="CZ371" s="1"/>
    </row>
    <row r="372" spans="1:104" ht="14.25" customHeight="1">
      <c r="A372" s="1"/>
      <c r="B372" s="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51"/>
      <c r="CQ372" s="51"/>
      <c r="CR372" s="51"/>
      <c r="CS372" s="51"/>
      <c r="CT372" s="51"/>
      <c r="CU372" s="1"/>
      <c r="CV372" s="1"/>
      <c r="CW372" s="1"/>
      <c r="CX372" s="1"/>
      <c r="CY372" s="1"/>
      <c r="CZ372" s="1"/>
    </row>
    <row r="373" spans="1:104" ht="14.25" customHeight="1">
      <c r="A373" s="1"/>
      <c r="B373" s="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1"/>
      <c r="CN373" s="51"/>
      <c r="CO373" s="51"/>
      <c r="CP373" s="51"/>
      <c r="CQ373" s="51"/>
      <c r="CR373" s="51"/>
      <c r="CS373" s="51"/>
      <c r="CT373" s="51"/>
      <c r="CU373" s="1"/>
      <c r="CV373" s="1"/>
      <c r="CW373" s="1"/>
      <c r="CX373" s="1"/>
      <c r="CY373" s="1"/>
      <c r="CZ373" s="1"/>
    </row>
    <row r="374" spans="1:104" ht="14.25" customHeight="1">
      <c r="A374" s="1"/>
      <c r="B374" s="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  <c r="CO374" s="51"/>
      <c r="CP374" s="51"/>
      <c r="CQ374" s="51"/>
      <c r="CR374" s="51"/>
      <c r="CS374" s="51"/>
      <c r="CT374" s="51"/>
      <c r="CU374" s="1"/>
      <c r="CV374" s="1"/>
      <c r="CW374" s="1"/>
      <c r="CX374" s="1"/>
      <c r="CY374" s="1"/>
      <c r="CZ374" s="1"/>
    </row>
    <row r="375" spans="1:104" ht="14.25" customHeight="1">
      <c r="A375" s="1"/>
      <c r="B375" s="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  <c r="CE375" s="51"/>
      <c r="CF375" s="51"/>
      <c r="CG375" s="51"/>
      <c r="CH375" s="51"/>
      <c r="CI375" s="51"/>
      <c r="CJ375" s="51"/>
      <c r="CK375" s="51"/>
      <c r="CL375" s="51"/>
      <c r="CM375" s="51"/>
      <c r="CN375" s="51"/>
      <c r="CO375" s="51"/>
      <c r="CP375" s="51"/>
      <c r="CQ375" s="51"/>
      <c r="CR375" s="51"/>
      <c r="CS375" s="51"/>
      <c r="CT375" s="51"/>
      <c r="CU375" s="1"/>
      <c r="CV375" s="1"/>
      <c r="CW375" s="1"/>
      <c r="CX375" s="1"/>
      <c r="CY375" s="1"/>
      <c r="CZ375" s="1"/>
    </row>
    <row r="376" spans="1:104" ht="14.25" customHeight="1">
      <c r="A376" s="1"/>
      <c r="B376" s="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  <c r="CE376" s="51"/>
      <c r="CF376" s="51"/>
      <c r="CG376" s="51"/>
      <c r="CH376" s="51"/>
      <c r="CI376" s="51"/>
      <c r="CJ376" s="51"/>
      <c r="CK376" s="51"/>
      <c r="CL376" s="51"/>
      <c r="CM376" s="51"/>
      <c r="CN376" s="51"/>
      <c r="CO376" s="51"/>
      <c r="CP376" s="51"/>
      <c r="CQ376" s="51"/>
      <c r="CR376" s="51"/>
      <c r="CS376" s="51"/>
      <c r="CT376" s="51"/>
      <c r="CU376" s="1"/>
      <c r="CV376" s="1"/>
      <c r="CW376" s="1"/>
      <c r="CX376" s="1"/>
      <c r="CY376" s="1"/>
      <c r="CZ376" s="1"/>
    </row>
    <row r="377" spans="1:104" ht="14.25" customHeight="1">
      <c r="A377" s="1"/>
      <c r="B377" s="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  <c r="CO377" s="51"/>
      <c r="CP377" s="51"/>
      <c r="CQ377" s="51"/>
      <c r="CR377" s="51"/>
      <c r="CS377" s="51"/>
      <c r="CT377" s="51"/>
      <c r="CU377" s="1"/>
      <c r="CV377" s="1"/>
      <c r="CW377" s="1"/>
      <c r="CX377" s="1"/>
      <c r="CY377" s="1"/>
      <c r="CZ377" s="1"/>
    </row>
    <row r="378" spans="1:104" ht="14.25" customHeight="1">
      <c r="A378" s="1"/>
      <c r="B378" s="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51"/>
      <c r="CQ378" s="51"/>
      <c r="CR378" s="51"/>
      <c r="CS378" s="51"/>
      <c r="CT378" s="51"/>
      <c r="CU378" s="1"/>
      <c r="CV378" s="1"/>
      <c r="CW378" s="1"/>
      <c r="CX378" s="1"/>
      <c r="CY378" s="1"/>
      <c r="CZ378" s="1"/>
    </row>
    <row r="379" spans="1:104" ht="14.25" customHeight="1">
      <c r="A379" s="1"/>
      <c r="B379" s="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51"/>
      <c r="CQ379" s="51"/>
      <c r="CR379" s="51"/>
      <c r="CS379" s="51"/>
      <c r="CT379" s="51"/>
      <c r="CU379" s="1"/>
      <c r="CV379" s="1"/>
      <c r="CW379" s="1"/>
      <c r="CX379" s="1"/>
      <c r="CY379" s="1"/>
      <c r="CZ379" s="1"/>
    </row>
    <row r="380" spans="1:104" ht="14.25" customHeight="1">
      <c r="A380" s="1"/>
      <c r="B380" s="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  <c r="CQ380" s="51"/>
      <c r="CR380" s="51"/>
      <c r="CS380" s="51"/>
      <c r="CT380" s="51"/>
      <c r="CU380" s="1"/>
      <c r="CV380" s="1"/>
      <c r="CW380" s="1"/>
      <c r="CX380" s="1"/>
      <c r="CY380" s="1"/>
      <c r="CZ380" s="1"/>
    </row>
    <row r="381" spans="1:104" ht="14.25" customHeight="1">
      <c r="A381" s="1"/>
      <c r="B381" s="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  <c r="CE381" s="51"/>
      <c r="CF381" s="51"/>
      <c r="CG381" s="51"/>
      <c r="CH381" s="51"/>
      <c r="CI381" s="51"/>
      <c r="CJ381" s="51"/>
      <c r="CK381" s="51"/>
      <c r="CL381" s="51"/>
      <c r="CM381" s="51"/>
      <c r="CN381" s="51"/>
      <c r="CO381" s="51"/>
      <c r="CP381" s="51"/>
      <c r="CQ381" s="51"/>
      <c r="CR381" s="51"/>
      <c r="CS381" s="51"/>
      <c r="CT381" s="51"/>
      <c r="CU381" s="1"/>
      <c r="CV381" s="1"/>
      <c r="CW381" s="1"/>
      <c r="CX381" s="1"/>
      <c r="CY381" s="1"/>
      <c r="CZ381" s="1"/>
    </row>
    <row r="382" spans="1:104" ht="14.25" customHeight="1">
      <c r="A382" s="1"/>
      <c r="B382" s="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  <c r="CE382" s="51"/>
      <c r="CF382" s="51"/>
      <c r="CG382" s="51"/>
      <c r="CH382" s="51"/>
      <c r="CI382" s="51"/>
      <c r="CJ382" s="51"/>
      <c r="CK382" s="51"/>
      <c r="CL382" s="51"/>
      <c r="CM382" s="51"/>
      <c r="CN382" s="51"/>
      <c r="CO382" s="51"/>
      <c r="CP382" s="51"/>
      <c r="CQ382" s="51"/>
      <c r="CR382" s="51"/>
      <c r="CS382" s="51"/>
      <c r="CT382" s="51"/>
      <c r="CU382" s="1"/>
      <c r="CV382" s="1"/>
      <c r="CW382" s="1"/>
      <c r="CX382" s="1"/>
      <c r="CY382" s="1"/>
      <c r="CZ382" s="1"/>
    </row>
    <row r="383" spans="1:104" ht="14.25" customHeight="1">
      <c r="A383" s="1"/>
      <c r="B383" s="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  <c r="CE383" s="51"/>
      <c r="CF383" s="51"/>
      <c r="CG383" s="51"/>
      <c r="CH383" s="51"/>
      <c r="CI383" s="51"/>
      <c r="CJ383" s="51"/>
      <c r="CK383" s="51"/>
      <c r="CL383" s="51"/>
      <c r="CM383" s="51"/>
      <c r="CN383" s="51"/>
      <c r="CO383" s="51"/>
      <c r="CP383" s="51"/>
      <c r="CQ383" s="51"/>
      <c r="CR383" s="51"/>
      <c r="CS383" s="51"/>
      <c r="CT383" s="51"/>
      <c r="CU383" s="1"/>
      <c r="CV383" s="1"/>
      <c r="CW383" s="1"/>
      <c r="CX383" s="1"/>
      <c r="CY383" s="1"/>
      <c r="CZ383" s="1"/>
    </row>
    <row r="384" spans="1:104" ht="14.25" customHeight="1">
      <c r="A384" s="1"/>
      <c r="B384" s="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51"/>
      <c r="CQ384" s="51"/>
      <c r="CR384" s="51"/>
      <c r="CS384" s="51"/>
      <c r="CT384" s="51"/>
      <c r="CU384" s="1"/>
      <c r="CV384" s="1"/>
      <c r="CW384" s="1"/>
      <c r="CX384" s="1"/>
      <c r="CY384" s="1"/>
      <c r="CZ384" s="1"/>
    </row>
    <row r="385" spans="1:104" ht="14.25" customHeight="1">
      <c r="A385" s="1"/>
      <c r="B385" s="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  <c r="CE385" s="51"/>
      <c r="CF385" s="51"/>
      <c r="CG385" s="51"/>
      <c r="CH385" s="51"/>
      <c r="CI385" s="51"/>
      <c r="CJ385" s="51"/>
      <c r="CK385" s="51"/>
      <c r="CL385" s="51"/>
      <c r="CM385" s="51"/>
      <c r="CN385" s="51"/>
      <c r="CO385" s="51"/>
      <c r="CP385" s="51"/>
      <c r="CQ385" s="51"/>
      <c r="CR385" s="51"/>
      <c r="CS385" s="51"/>
      <c r="CT385" s="51"/>
      <c r="CU385" s="1"/>
      <c r="CV385" s="1"/>
      <c r="CW385" s="1"/>
      <c r="CX385" s="1"/>
      <c r="CY385" s="1"/>
      <c r="CZ385" s="1"/>
    </row>
    <row r="386" spans="1:104" ht="14.25" customHeight="1">
      <c r="A386" s="1"/>
      <c r="B386" s="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  <c r="CE386" s="51"/>
      <c r="CF386" s="51"/>
      <c r="CG386" s="51"/>
      <c r="CH386" s="51"/>
      <c r="CI386" s="51"/>
      <c r="CJ386" s="51"/>
      <c r="CK386" s="51"/>
      <c r="CL386" s="51"/>
      <c r="CM386" s="51"/>
      <c r="CN386" s="51"/>
      <c r="CO386" s="51"/>
      <c r="CP386" s="51"/>
      <c r="CQ386" s="51"/>
      <c r="CR386" s="51"/>
      <c r="CS386" s="51"/>
      <c r="CT386" s="51"/>
      <c r="CU386" s="1"/>
      <c r="CV386" s="1"/>
      <c r="CW386" s="1"/>
      <c r="CX386" s="1"/>
      <c r="CY386" s="1"/>
      <c r="CZ386" s="1"/>
    </row>
    <row r="387" spans="1:104" ht="14.25" customHeight="1">
      <c r="A387" s="1"/>
      <c r="B387" s="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51"/>
      <c r="CQ387" s="51"/>
      <c r="CR387" s="51"/>
      <c r="CS387" s="51"/>
      <c r="CT387" s="51"/>
      <c r="CU387" s="1"/>
      <c r="CV387" s="1"/>
      <c r="CW387" s="1"/>
      <c r="CX387" s="1"/>
      <c r="CY387" s="1"/>
      <c r="CZ387" s="1"/>
    </row>
    <row r="388" spans="1:104" ht="14.25" customHeight="1">
      <c r="A388" s="1"/>
      <c r="B388" s="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  <c r="CE388" s="51"/>
      <c r="CF388" s="51"/>
      <c r="CG388" s="51"/>
      <c r="CH388" s="51"/>
      <c r="CI388" s="51"/>
      <c r="CJ388" s="51"/>
      <c r="CK388" s="51"/>
      <c r="CL388" s="51"/>
      <c r="CM388" s="51"/>
      <c r="CN388" s="51"/>
      <c r="CO388" s="51"/>
      <c r="CP388" s="51"/>
      <c r="CQ388" s="51"/>
      <c r="CR388" s="51"/>
      <c r="CS388" s="51"/>
      <c r="CT388" s="51"/>
      <c r="CU388" s="1"/>
      <c r="CV388" s="1"/>
      <c r="CW388" s="1"/>
      <c r="CX388" s="1"/>
      <c r="CY388" s="1"/>
      <c r="CZ388" s="1"/>
    </row>
    <row r="389" spans="1:104" ht="14.25" customHeight="1">
      <c r="A389" s="1"/>
      <c r="B389" s="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  <c r="CE389" s="51"/>
      <c r="CF389" s="51"/>
      <c r="CG389" s="51"/>
      <c r="CH389" s="51"/>
      <c r="CI389" s="51"/>
      <c r="CJ389" s="51"/>
      <c r="CK389" s="51"/>
      <c r="CL389" s="51"/>
      <c r="CM389" s="51"/>
      <c r="CN389" s="51"/>
      <c r="CO389" s="51"/>
      <c r="CP389" s="51"/>
      <c r="CQ389" s="51"/>
      <c r="CR389" s="51"/>
      <c r="CS389" s="51"/>
      <c r="CT389" s="51"/>
      <c r="CU389" s="1"/>
      <c r="CV389" s="1"/>
      <c r="CW389" s="1"/>
      <c r="CX389" s="1"/>
      <c r="CY389" s="1"/>
      <c r="CZ389" s="1"/>
    </row>
    <row r="390" spans="1:104" ht="14.25" customHeight="1">
      <c r="A390" s="1"/>
      <c r="B390" s="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  <c r="CI390" s="51"/>
      <c r="CJ390" s="51"/>
      <c r="CK390" s="51"/>
      <c r="CL390" s="51"/>
      <c r="CM390" s="51"/>
      <c r="CN390" s="51"/>
      <c r="CO390" s="51"/>
      <c r="CP390" s="51"/>
      <c r="CQ390" s="51"/>
      <c r="CR390" s="51"/>
      <c r="CS390" s="51"/>
      <c r="CT390" s="51"/>
      <c r="CU390" s="1"/>
      <c r="CV390" s="1"/>
      <c r="CW390" s="1"/>
      <c r="CX390" s="1"/>
      <c r="CY390" s="1"/>
      <c r="CZ390" s="1"/>
    </row>
    <row r="391" spans="1:104" ht="14.25" customHeight="1">
      <c r="A391" s="1"/>
      <c r="B391" s="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  <c r="CQ391" s="51"/>
      <c r="CR391" s="51"/>
      <c r="CS391" s="51"/>
      <c r="CT391" s="51"/>
      <c r="CU391" s="1"/>
      <c r="CV391" s="1"/>
      <c r="CW391" s="1"/>
      <c r="CX391" s="1"/>
      <c r="CY391" s="1"/>
      <c r="CZ391" s="1"/>
    </row>
    <row r="392" spans="1:104" ht="14.25" customHeight="1">
      <c r="A392" s="1"/>
      <c r="B392" s="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  <c r="CE392" s="51"/>
      <c r="CF392" s="51"/>
      <c r="CG392" s="51"/>
      <c r="CH392" s="51"/>
      <c r="CI392" s="51"/>
      <c r="CJ392" s="51"/>
      <c r="CK392" s="51"/>
      <c r="CL392" s="51"/>
      <c r="CM392" s="51"/>
      <c r="CN392" s="51"/>
      <c r="CO392" s="51"/>
      <c r="CP392" s="51"/>
      <c r="CQ392" s="51"/>
      <c r="CR392" s="51"/>
      <c r="CS392" s="51"/>
      <c r="CT392" s="51"/>
      <c r="CU392" s="1"/>
      <c r="CV392" s="1"/>
      <c r="CW392" s="1"/>
      <c r="CX392" s="1"/>
      <c r="CY392" s="1"/>
      <c r="CZ392" s="1"/>
    </row>
    <row r="393" spans="1:104" ht="14.25" customHeight="1">
      <c r="A393" s="1"/>
      <c r="B393" s="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  <c r="CC393" s="51"/>
      <c r="CD393" s="51"/>
      <c r="CE393" s="51"/>
      <c r="CF393" s="51"/>
      <c r="CG393" s="51"/>
      <c r="CH393" s="51"/>
      <c r="CI393" s="51"/>
      <c r="CJ393" s="51"/>
      <c r="CK393" s="51"/>
      <c r="CL393" s="51"/>
      <c r="CM393" s="51"/>
      <c r="CN393" s="51"/>
      <c r="CO393" s="51"/>
      <c r="CP393" s="51"/>
      <c r="CQ393" s="51"/>
      <c r="CR393" s="51"/>
      <c r="CS393" s="51"/>
      <c r="CT393" s="51"/>
      <c r="CU393" s="1"/>
      <c r="CV393" s="1"/>
      <c r="CW393" s="1"/>
      <c r="CX393" s="1"/>
      <c r="CY393" s="1"/>
      <c r="CZ393" s="1"/>
    </row>
    <row r="394" spans="1:104" ht="14.25" customHeight="1">
      <c r="A394" s="1"/>
      <c r="B394" s="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  <c r="CC394" s="51"/>
      <c r="CD394" s="51"/>
      <c r="CE394" s="51"/>
      <c r="CF394" s="51"/>
      <c r="CG394" s="51"/>
      <c r="CH394" s="51"/>
      <c r="CI394" s="51"/>
      <c r="CJ394" s="51"/>
      <c r="CK394" s="51"/>
      <c r="CL394" s="51"/>
      <c r="CM394" s="51"/>
      <c r="CN394" s="51"/>
      <c r="CO394" s="51"/>
      <c r="CP394" s="51"/>
      <c r="CQ394" s="51"/>
      <c r="CR394" s="51"/>
      <c r="CS394" s="51"/>
      <c r="CT394" s="51"/>
      <c r="CU394" s="1"/>
      <c r="CV394" s="1"/>
      <c r="CW394" s="1"/>
      <c r="CX394" s="1"/>
      <c r="CY394" s="1"/>
      <c r="CZ394" s="1"/>
    </row>
    <row r="395" spans="1:104" ht="14.25" customHeight="1">
      <c r="A395" s="1"/>
      <c r="B395" s="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  <c r="CC395" s="51"/>
      <c r="CD395" s="51"/>
      <c r="CE395" s="51"/>
      <c r="CF395" s="51"/>
      <c r="CG395" s="51"/>
      <c r="CH395" s="51"/>
      <c r="CI395" s="51"/>
      <c r="CJ395" s="51"/>
      <c r="CK395" s="51"/>
      <c r="CL395" s="51"/>
      <c r="CM395" s="51"/>
      <c r="CN395" s="51"/>
      <c r="CO395" s="51"/>
      <c r="CP395" s="51"/>
      <c r="CQ395" s="51"/>
      <c r="CR395" s="51"/>
      <c r="CS395" s="51"/>
      <c r="CT395" s="51"/>
      <c r="CU395" s="1"/>
      <c r="CV395" s="1"/>
      <c r="CW395" s="1"/>
      <c r="CX395" s="1"/>
      <c r="CY395" s="1"/>
      <c r="CZ395" s="1"/>
    </row>
    <row r="396" spans="1:104" ht="14.25" customHeight="1">
      <c r="A396" s="1"/>
      <c r="B396" s="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  <c r="CC396" s="51"/>
      <c r="CD396" s="51"/>
      <c r="CE396" s="51"/>
      <c r="CF396" s="51"/>
      <c r="CG396" s="51"/>
      <c r="CH396" s="51"/>
      <c r="CI396" s="51"/>
      <c r="CJ396" s="51"/>
      <c r="CK396" s="51"/>
      <c r="CL396" s="51"/>
      <c r="CM396" s="51"/>
      <c r="CN396" s="51"/>
      <c r="CO396" s="51"/>
      <c r="CP396" s="51"/>
      <c r="CQ396" s="51"/>
      <c r="CR396" s="51"/>
      <c r="CS396" s="51"/>
      <c r="CT396" s="51"/>
      <c r="CU396" s="1"/>
      <c r="CV396" s="1"/>
      <c r="CW396" s="1"/>
      <c r="CX396" s="1"/>
      <c r="CY396" s="1"/>
      <c r="CZ396" s="1"/>
    </row>
    <row r="397" spans="1:104" ht="14.25" customHeight="1">
      <c r="A397" s="1"/>
      <c r="B397" s="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  <c r="CC397" s="51"/>
      <c r="CD397" s="51"/>
      <c r="CE397" s="51"/>
      <c r="CF397" s="51"/>
      <c r="CG397" s="51"/>
      <c r="CH397" s="51"/>
      <c r="CI397" s="51"/>
      <c r="CJ397" s="51"/>
      <c r="CK397" s="51"/>
      <c r="CL397" s="51"/>
      <c r="CM397" s="51"/>
      <c r="CN397" s="51"/>
      <c r="CO397" s="51"/>
      <c r="CP397" s="51"/>
      <c r="CQ397" s="51"/>
      <c r="CR397" s="51"/>
      <c r="CS397" s="51"/>
      <c r="CT397" s="51"/>
      <c r="CU397" s="1"/>
      <c r="CV397" s="1"/>
      <c r="CW397" s="1"/>
      <c r="CX397" s="1"/>
      <c r="CY397" s="1"/>
      <c r="CZ397" s="1"/>
    </row>
    <row r="398" spans="1:104" ht="14.25" customHeight="1">
      <c r="A398" s="1"/>
      <c r="B398" s="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  <c r="CC398" s="51"/>
      <c r="CD398" s="51"/>
      <c r="CE398" s="51"/>
      <c r="CF398" s="51"/>
      <c r="CG398" s="51"/>
      <c r="CH398" s="51"/>
      <c r="CI398" s="51"/>
      <c r="CJ398" s="51"/>
      <c r="CK398" s="51"/>
      <c r="CL398" s="51"/>
      <c r="CM398" s="51"/>
      <c r="CN398" s="51"/>
      <c r="CO398" s="51"/>
      <c r="CP398" s="51"/>
      <c r="CQ398" s="51"/>
      <c r="CR398" s="51"/>
      <c r="CS398" s="51"/>
      <c r="CT398" s="51"/>
      <c r="CU398" s="1"/>
      <c r="CV398" s="1"/>
      <c r="CW398" s="1"/>
      <c r="CX398" s="1"/>
      <c r="CY398" s="1"/>
      <c r="CZ398" s="1"/>
    </row>
    <row r="399" spans="1:104" ht="14.25" customHeight="1">
      <c r="A399" s="1"/>
      <c r="B399" s="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  <c r="CC399" s="51"/>
      <c r="CD399" s="51"/>
      <c r="CE399" s="51"/>
      <c r="CF399" s="51"/>
      <c r="CG399" s="51"/>
      <c r="CH399" s="51"/>
      <c r="CI399" s="51"/>
      <c r="CJ399" s="51"/>
      <c r="CK399" s="51"/>
      <c r="CL399" s="51"/>
      <c r="CM399" s="51"/>
      <c r="CN399" s="51"/>
      <c r="CO399" s="51"/>
      <c r="CP399" s="51"/>
      <c r="CQ399" s="51"/>
      <c r="CR399" s="51"/>
      <c r="CS399" s="51"/>
      <c r="CT399" s="51"/>
      <c r="CU399" s="1"/>
      <c r="CV399" s="1"/>
      <c r="CW399" s="1"/>
      <c r="CX399" s="1"/>
      <c r="CY399" s="1"/>
      <c r="CZ399" s="1"/>
    </row>
    <row r="400" spans="1:104" ht="14.25" customHeight="1">
      <c r="A400" s="1"/>
      <c r="B400" s="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  <c r="CC400" s="51"/>
      <c r="CD400" s="51"/>
      <c r="CE400" s="51"/>
      <c r="CF400" s="51"/>
      <c r="CG400" s="51"/>
      <c r="CH400" s="51"/>
      <c r="CI400" s="51"/>
      <c r="CJ400" s="51"/>
      <c r="CK400" s="51"/>
      <c r="CL400" s="51"/>
      <c r="CM400" s="51"/>
      <c r="CN400" s="51"/>
      <c r="CO400" s="51"/>
      <c r="CP400" s="51"/>
      <c r="CQ400" s="51"/>
      <c r="CR400" s="51"/>
      <c r="CS400" s="51"/>
      <c r="CT400" s="51"/>
      <c r="CU400" s="1"/>
      <c r="CV400" s="1"/>
      <c r="CW400" s="1"/>
      <c r="CX400" s="1"/>
      <c r="CY400" s="1"/>
      <c r="CZ400" s="1"/>
    </row>
    <row r="401" spans="1:104" ht="14.25" customHeight="1">
      <c r="A401" s="1"/>
      <c r="B401" s="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  <c r="CC401" s="51"/>
      <c r="CD401" s="51"/>
      <c r="CE401" s="51"/>
      <c r="CF401" s="51"/>
      <c r="CG401" s="51"/>
      <c r="CH401" s="51"/>
      <c r="CI401" s="51"/>
      <c r="CJ401" s="51"/>
      <c r="CK401" s="51"/>
      <c r="CL401" s="51"/>
      <c r="CM401" s="51"/>
      <c r="CN401" s="51"/>
      <c r="CO401" s="51"/>
      <c r="CP401" s="51"/>
      <c r="CQ401" s="51"/>
      <c r="CR401" s="51"/>
      <c r="CS401" s="51"/>
      <c r="CT401" s="51"/>
      <c r="CU401" s="1"/>
      <c r="CV401" s="1"/>
      <c r="CW401" s="1"/>
      <c r="CX401" s="1"/>
      <c r="CY401" s="1"/>
      <c r="CZ401" s="1"/>
    </row>
    <row r="402" spans="1:104" ht="14.25" customHeight="1">
      <c r="A402" s="1"/>
      <c r="B402" s="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  <c r="CE402" s="51"/>
      <c r="CF402" s="51"/>
      <c r="CG402" s="51"/>
      <c r="CH402" s="51"/>
      <c r="CI402" s="51"/>
      <c r="CJ402" s="51"/>
      <c r="CK402" s="51"/>
      <c r="CL402" s="51"/>
      <c r="CM402" s="51"/>
      <c r="CN402" s="51"/>
      <c r="CO402" s="51"/>
      <c r="CP402" s="51"/>
      <c r="CQ402" s="51"/>
      <c r="CR402" s="51"/>
      <c r="CS402" s="51"/>
      <c r="CT402" s="51"/>
      <c r="CU402" s="1"/>
      <c r="CV402" s="1"/>
      <c r="CW402" s="1"/>
      <c r="CX402" s="1"/>
      <c r="CY402" s="1"/>
      <c r="CZ402" s="1"/>
    </row>
    <row r="403" spans="1:104" ht="14.25" customHeight="1">
      <c r="A403" s="1"/>
      <c r="B403" s="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  <c r="CC403" s="51"/>
      <c r="CD403" s="51"/>
      <c r="CE403" s="51"/>
      <c r="CF403" s="51"/>
      <c r="CG403" s="51"/>
      <c r="CH403" s="51"/>
      <c r="CI403" s="51"/>
      <c r="CJ403" s="51"/>
      <c r="CK403" s="51"/>
      <c r="CL403" s="51"/>
      <c r="CM403" s="51"/>
      <c r="CN403" s="51"/>
      <c r="CO403" s="51"/>
      <c r="CP403" s="51"/>
      <c r="CQ403" s="51"/>
      <c r="CR403" s="51"/>
      <c r="CS403" s="51"/>
      <c r="CT403" s="51"/>
      <c r="CU403" s="1"/>
      <c r="CV403" s="1"/>
      <c r="CW403" s="1"/>
      <c r="CX403" s="1"/>
      <c r="CY403" s="1"/>
      <c r="CZ403" s="1"/>
    </row>
    <row r="404" spans="1:104" ht="14.25" customHeight="1">
      <c r="A404" s="1"/>
      <c r="B404" s="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  <c r="CC404" s="51"/>
      <c r="CD404" s="51"/>
      <c r="CE404" s="51"/>
      <c r="CF404" s="51"/>
      <c r="CG404" s="51"/>
      <c r="CH404" s="51"/>
      <c r="CI404" s="51"/>
      <c r="CJ404" s="51"/>
      <c r="CK404" s="51"/>
      <c r="CL404" s="51"/>
      <c r="CM404" s="51"/>
      <c r="CN404" s="51"/>
      <c r="CO404" s="51"/>
      <c r="CP404" s="51"/>
      <c r="CQ404" s="51"/>
      <c r="CR404" s="51"/>
      <c r="CS404" s="51"/>
      <c r="CT404" s="51"/>
      <c r="CU404" s="1"/>
      <c r="CV404" s="1"/>
      <c r="CW404" s="1"/>
      <c r="CX404" s="1"/>
      <c r="CY404" s="1"/>
      <c r="CZ404" s="1"/>
    </row>
    <row r="405" spans="1:104" ht="14.25" customHeight="1">
      <c r="A405" s="1"/>
      <c r="B405" s="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  <c r="CC405" s="51"/>
      <c r="CD405" s="51"/>
      <c r="CE405" s="51"/>
      <c r="CF405" s="51"/>
      <c r="CG405" s="51"/>
      <c r="CH405" s="51"/>
      <c r="CI405" s="51"/>
      <c r="CJ405" s="51"/>
      <c r="CK405" s="51"/>
      <c r="CL405" s="51"/>
      <c r="CM405" s="51"/>
      <c r="CN405" s="51"/>
      <c r="CO405" s="51"/>
      <c r="CP405" s="51"/>
      <c r="CQ405" s="51"/>
      <c r="CR405" s="51"/>
      <c r="CS405" s="51"/>
      <c r="CT405" s="51"/>
      <c r="CU405" s="1"/>
      <c r="CV405" s="1"/>
      <c r="CW405" s="1"/>
      <c r="CX405" s="1"/>
      <c r="CY405" s="1"/>
      <c r="CZ405" s="1"/>
    </row>
    <row r="406" spans="1:104" ht="14.25" customHeight="1">
      <c r="A406" s="1"/>
      <c r="B406" s="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  <c r="CC406" s="51"/>
      <c r="CD406" s="51"/>
      <c r="CE406" s="51"/>
      <c r="CF406" s="51"/>
      <c r="CG406" s="51"/>
      <c r="CH406" s="51"/>
      <c r="CI406" s="51"/>
      <c r="CJ406" s="51"/>
      <c r="CK406" s="51"/>
      <c r="CL406" s="51"/>
      <c r="CM406" s="51"/>
      <c r="CN406" s="51"/>
      <c r="CO406" s="51"/>
      <c r="CP406" s="51"/>
      <c r="CQ406" s="51"/>
      <c r="CR406" s="51"/>
      <c r="CS406" s="51"/>
      <c r="CT406" s="51"/>
      <c r="CU406" s="1"/>
      <c r="CV406" s="1"/>
      <c r="CW406" s="1"/>
      <c r="CX406" s="1"/>
      <c r="CY406" s="1"/>
      <c r="CZ406" s="1"/>
    </row>
    <row r="407" spans="1:104" ht="14.25" customHeight="1">
      <c r="A407" s="1"/>
      <c r="B407" s="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  <c r="CC407" s="51"/>
      <c r="CD407" s="51"/>
      <c r="CE407" s="51"/>
      <c r="CF407" s="51"/>
      <c r="CG407" s="51"/>
      <c r="CH407" s="51"/>
      <c r="CI407" s="51"/>
      <c r="CJ407" s="51"/>
      <c r="CK407" s="51"/>
      <c r="CL407" s="51"/>
      <c r="CM407" s="51"/>
      <c r="CN407" s="51"/>
      <c r="CO407" s="51"/>
      <c r="CP407" s="51"/>
      <c r="CQ407" s="51"/>
      <c r="CR407" s="51"/>
      <c r="CS407" s="51"/>
      <c r="CT407" s="51"/>
      <c r="CU407" s="1"/>
      <c r="CV407" s="1"/>
      <c r="CW407" s="1"/>
      <c r="CX407" s="1"/>
      <c r="CY407" s="1"/>
      <c r="CZ407" s="1"/>
    </row>
    <row r="408" spans="1:104" ht="14.25" customHeight="1">
      <c r="A408" s="1"/>
      <c r="B408" s="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  <c r="CC408" s="51"/>
      <c r="CD408" s="51"/>
      <c r="CE408" s="51"/>
      <c r="CF408" s="51"/>
      <c r="CG408" s="51"/>
      <c r="CH408" s="51"/>
      <c r="CI408" s="51"/>
      <c r="CJ408" s="51"/>
      <c r="CK408" s="51"/>
      <c r="CL408" s="51"/>
      <c r="CM408" s="51"/>
      <c r="CN408" s="51"/>
      <c r="CO408" s="51"/>
      <c r="CP408" s="51"/>
      <c r="CQ408" s="51"/>
      <c r="CR408" s="51"/>
      <c r="CS408" s="51"/>
      <c r="CT408" s="51"/>
      <c r="CU408" s="1"/>
      <c r="CV408" s="1"/>
      <c r="CW408" s="1"/>
      <c r="CX408" s="1"/>
      <c r="CY408" s="1"/>
      <c r="CZ408" s="1"/>
    </row>
    <row r="409" spans="1:104" ht="14.25" customHeight="1">
      <c r="A409" s="1"/>
      <c r="B409" s="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  <c r="CC409" s="51"/>
      <c r="CD409" s="51"/>
      <c r="CE409" s="51"/>
      <c r="CF409" s="51"/>
      <c r="CG409" s="51"/>
      <c r="CH409" s="51"/>
      <c r="CI409" s="51"/>
      <c r="CJ409" s="51"/>
      <c r="CK409" s="51"/>
      <c r="CL409" s="51"/>
      <c r="CM409" s="51"/>
      <c r="CN409" s="51"/>
      <c r="CO409" s="51"/>
      <c r="CP409" s="51"/>
      <c r="CQ409" s="51"/>
      <c r="CR409" s="51"/>
      <c r="CS409" s="51"/>
      <c r="CT409" s="51"/>
      <c r="CU409" s="1"/>
      <c r="CV409" s="1"/>
      <c r="CW409" s="1"/>
      <c r="CX409" s="1"/>
      <c r="CY409" s="1"/>
      <c r="CZ409" s="1"/>
    </row>
    <row r="410" spans="1:104" ht="14.25" customHeight="1">
      <c r="A410" s="1"/>
      <c r="B410" s="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  <c r="CI410" s="51"/>
      <c r="CJ410" s="51"/>
      <c r="CK410" s="51"/>
      <c r="CL410" s="51"/>
      <c r="CM410" s="51"/>
      <c r="CN410" s="51"/>
      <c r="CO410" s="51"/>
      <c r="CP410" s="51"/>
      <c r="CQ410" s="51"/>
      <c r="CR410" s="51"/>
      <c r="CS410" s="51"/>
      <c r="CT410" s="51"/>
      <c r="CU410" s="1"/>
      <c r="CV410" s="1"/>
      <c r="CW410" s="1"/>
      <c r="CX410" s="1"/>
      <c r="CY410" s="1"/>
      <c r="CZ410" s="1"/>
    </row>
    <row r="411" spans="1:104" ht="14.25" customHeight="1">
      <c r="A411" s="1"/>
      <c r="B411" s="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  <c r="CC411" s="51"/>
      <c r="CD411" s="51"/>
      <c r="CE411" s="51"/>
      <c r="CF411" s="51"/>
      <c r="CG411" s="51"/>
      <c r="CH411" s="51"/>
      <c r="CI411" s="51"/>
      <c r="CJ411" s="51"/>
      <c r="CK411" s="51"/>
      <c r="CL411" s="51"/>
      <c r="CM411" s="51"/>
      <c r="CN411" s="51"/>
      <c r="CO411" s="51"/>
      <c r="CP411" s="51"/>
      <c r="CQ411" s="51"/>
      <c r="CR411" s="51"/>
      <c r="CS411" s="51"/>
      <c r="CT411" s="51"/>
      <c r="CU411" s="1"/>
      <c r="CV411" s="1"/>
      <c r="CW411" s="1"/>
      <c r="CX411" s="1"/>
      <c r="CY411" s="1"/>
      <c r="CZ411" s="1"/>
    </row>
    <row r="412" spans="1:104" ht="14.25" customHeight="1">
      <c r="A412" s="1"/>
      <c r="B412" s="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  <c r="CC412" s="51"/>
      <c r="CD412" s="51"/>
      <c r="CE412" s="51"/>
      <c r="CF412" s="51"/>
      <c r="CG412" s="51"/>
      <c r="CH412" s="51"/>
      <c r="CI412" s="51"/>
      <c r="CJ412" s="51"/>
      <c r="CK412" s="51"/>
      <c r="CL412" s="51"/>
      <c r="CM412" s="51"/>
      <c r="CN412" s="51"/>
      <c r="CO412" s="51"/>
      <c r="CP412" s="51"/>
      <c r="CQ412" s="51"/>
      <c r="CR412" s="51"/>
      <c r="CS412" s="51"/>
      <c r="CT412" s="51"/>
      <c r="CU412" s="1"/>
      <c r="CV412" s="1"/>
      <c r="CW412" s="1"/>
      <c r="CX412" s="1"/>
      <c r="CY412" s="1"/>
      <c r="CZ412" s="1"/>
    </row>
    <row r="413" spans="1:104" ht="14.25" customHeight="1">
      <c r="A413" s="1"/>
      <c r="B413" s="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  <c r="CO413" s="51"/>
      <c r="CP413" s="51"/>
      <c r="CQ413" s="51"/>
      <c r="CR413" s="51"/>
      <c r="CS413" s="51"/>
      <c r="CT413" s="51"/>
      <c r="CU413" s="1"/>
      <c r="CV413" s="1"/>
      <c r="CW413" s="1"/>
      <c r="CX413" s="1"/>
      <c r="CY413" s="1"/>
      <c r="CZ413" s="1"/>
    </row>
    <row r="414" spans="1:104" ht="14.25" customHeight="1">
      <c r="A414" s="1"/>
      <c r="B414" s="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  <c r="CC414" s="51"/>
      <c r="CD414" s="51"/>
      <c r="CE414" s="51"/>
      <c r="CF414" s="51"/>
      <c r="CG414" s="51"/>
      <c r="CH414" s="51"/>
      <c r="CI414" s="51"/>
      <c r="CJ414" s="51"/>
      <c r="CK414" s="51"/>
      <c r="CL414" s="51"/>
      <c r="CM414" s="51"/>
      <c r="CN414" s="51"/>
      <c r="CO414" s="51"/>
      <c r="CP414" s="51"/>
      <c r="CQ414" s="51"/>
      <c r="CR414" s="51"/>
      <c r="CS414" s="51"/>
      <c r="CT414" s="51"/>
      <c r="CU414" s="1"/>
      <c r="CV414" s="1"/>
      <c r="CW414" s="1"/>
      <c r="CX414" s="1"/>
      <c r="CY414" s="1"/>
      <c r="CZ414" s="1"/>
    </row>
    <row r="415" spans="1:104" ht="14.25" customHeight="1">
      <c r="A415" s="1"/>
      <c r="B415" s="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  <c r="CC415" s="51"/>
      <c r="CD415" s="51"/>
      <c r="CE415" s="51"/>
      <c r="CF415" s="51"/>
      <c r="CG415" s="51"/>
      <c r="CH415" s="51"/>
      <c r="CI415" s="51"/>
      <c r="CJ415" s="51"/>
      <c r="CK415" s="51"/>
      <c r="CL415" s="51"/>
      <c r="CM415" s="51"/>
      <c r="CN415" s="51"/>
      <c r="CO415" s="51"/>
      <c r="CP415" s="51"/>
      <c r="CQ415" s="51"/>
      <c r="CR415" s="51"/>
      <c r="CS415" s="51"/>
      <c r="CT415" s="51"/>
      <c r="CU415" s="1"/>
      <c r="CV415" s="1"/>
      <c r="CW415" s="1"/>
      <c r="CX415" s="1"/>
      <c r="CY415" s="1"/>
      <c r="CZ415" s="1"/>
    </row>
    <row r="416" spans="1:104" ht="14.25" customHeight="1">
      <c r="A416" s="1"/>
      <c r="B416" s="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  <c r="CC416" s="51"/>
      <c r="CD416" s="51"/>
      <c r="CE416" s="51"/>
      <c r="CF416" s="51"/>
      <c r="CG416" s="51"/>
      <c r="CH416" s="51"/>
      <c r="CI416" s="51"/>
      <c r="CJ416" s="51"/>
      <c r="CK416" s="51"/>
      <c r="CL416" s="51"/>
      <c r="CM416" s="51"/>
      <c r="CN416" s="51"/>
      <c r="CO416" s="51"/>
      <c r="CP416" s="51"/>
      <c r="CQ416" s="51"/>
      <c r="CR416" s="51"/>
      <c r="CS416" s="51"/>
      <c r="CT416" s="51"/>
      <c r="CU416" s="1"/>
      <c r="CV416" s="1"/>
      <c r="CW416" s="1"/>
      <c r="CX416" s="1"/>
      <c r="CY416" s="1"/>
      <c r="CZ416" s="1"/>
    </row>
    <row r="417" spans="1:104" ht="14.25" customHeight="1">
      <c r="A417" s="1"/>
      <c r="B417" s="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  <c r="CC417" s="51"/>
      <c r="CD417" s="51"/>
      <c r="CE417" s="51"/>
      <c r="CF417" s="51"/>
      <c r="CG417" s="51"/>
      <c r="CH417" s="51"/>
      <c r="CI417" s="51"/>
      <c r="CJ417" s="51"/>
      <c r="CK417" s="51"/>
      <c r="CL417" s="51"/>
      <c r="CM417" s="51"/>
      <c r="CN417" s="51"/>
      <c r="CO417" s="51"/>
      <c r="CP417" s="51"/>
      <c r="CQ417" s="51"/>
      <c r="CR417" s="51"/>
      <c r="CS417" s="51"/>
      <c r="CT417" s="51"/>
      <c r="CU417" s="1"/>
      <c r="CV417" s="1"/>
      <c r="CW417" s="1"/>
      <c r="CX417" s="1"/>
      <c r="CY417" s="1"/>
      <c r="CZ417" s="1"/>
    </row>
    <row r="418" spans="1:104" ht="14.25" customHeight="1">
      <c r="A418" s="1"/>
      <c r="B418" s="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  <c r="CC418" s="51"/>
      <c r="CD418" s="51"/>
      <c r="CE418" s="51"/>
      <c r="CF418" s="51"/>
      <c r="CG418" s="51"/>
      <c r="CH418" s="51"/>
      <c r="CI418" s="51"/>
      <c r="CJ418" s="51"/>
      <c r="CK418" s="51"/>
      <c r="CL418" s="51"/>
      <c r="CM418" s="51"/>
      <c r="CN418" s="51"/>
      <c r="CO418" s="51"/>
      <c r="CP418" s="51"/>
      <c r="CQ418" s="51"/>
      <c r="CR418" s="51"/>
      <c r="CS418" s="51"/>
      <c r="CT418" s="51"/>
      <c r="CU418" s="1"/>
      <c r="CV418" s="1"/>
      <c r="CW418" s="1"/>
      <c r="CX418" s="1"/>
      <c r="CY418" s="1"/>
      <c r="CZ418" s="1"/>
    </row>
    <row r="419" spans="1:104" ht="14.25" customHeight="1">
      <c r="A419" s="1"/>
      <c r="B419" s="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  <c r="CC419" s="51"/>
      <c r="CD419" s="51"/>
      <c r="CE419" s="51"/>
      <c r="CF419" s="51"/>
      <c r="CG419" s="51"/>
      <c r="CH419" s="51"/>
      <c r="CI419" s="51"/>
      <c r="CJ419" s="51"/>
      <c r="CK419" s="51"/>
      <c r="CL419" s="51"/>
      <c r="CM419" s="51"/>
      <c r="CN419" s="51"/>
      <c r="CO419" s="51"/>
      <c r="CP419" s="51"/>
      <c r="CQ419" s="51"/>
      <c r="CR419" s="51"/>
      <c r="CS419" s="51"/>
      <c r="CT419" s="51"/>
      <c r="CU419" s="1"/>
      <c r="CV419" s="1"/>
      <c r="CW419" s="1"/>
      <c r="CX419" s="1"/>
      <c r="CY419" s="1"/>
      <c r="CZ419" s="1"/>
    </row>
    <row r="420" spans="1:104" ht="14.25" customHeight="1">
      <c r="A420" s="1"/>
      <c r="B420" s="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  <c r="CC420" s="51"/>
      <c r="CD420" s="51"/>
      <c r="CE420" s="51"/>
      <c r="CF420" s="51"/>
      <c r="CG420" s="51"/>
      <c r="CH420" s="51"/>
      <c r="CI420" s="51"/>
      <c r="CJ420" s="51"/>
      <c r="CK420" s="51"/>
      <c r="CL420" s="51"/>
      <c r="CM420" s="51"/>
      <c r="CN420" s="51"/>
      <c r="CO420" s="51"/>
      <c r="CP420" s="51"/>
      <c r="CQ420" s="51"/>
      <c r="CR420" s="51"/>
      <c r="CS420" s="51"/>
      <c r="CT420" s="51"/>
      <c r="CU420" s="1"/>
      <c r="CV420" s="1"/>
      <c r="CW420" s="1"/>
      <c r="CX420" s="1"/>
      <c r="CY420" s="1"/>
      <c r="CZ420" s="1"/>
    </row>
    <row r="421" spans="1:104" ht="14.25" customHeight="1">
      <c r="A421" s="1"/>
      <c r="B421" s="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  <c r="CC421" s="51"/>
      <c r="CD421" s="51"/>
      <c r="CE421" s="51"/>
      <c r="CF421" s="51"/>
      <c r="CG421" s="51"/>
      <c r="CH421" s="51"/>
      <c r="CI421" s="51"/>
      <c r="CJ421" s="51"/>
      <c r="CK421" s="51"/>
      <c r="CL421" s="51"/>
      <c r="CM421" s="51"/>
      <c r="CN421" s="51"/>
      <c r="CO421" s="51"/>
      <c r="CP421" s="51"/>
      <c r="CQ421" s="51"/>
      <c r="CR421" s="51"/>
      <c r="CS421" s="51"/>
      <c r="CT421" s="51"/>
      <c r="CU421" s="1"/>
      <c r="CV421" s="1"/>
      <c r="CW421" s="1"/>
      <c r="CX421" s="1"/>
      <c r="CY421" s="1"/>
      <c r="CZ421" s="1"/>
    </row>
    <row r="422" spans="1:104" ht="14.25" customHeight="1">
      <c r="A422" s="1"/>
      <c r="B422" s="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  <c r="CE422" s="51"/>
      <c r="CF422" s="51"/>
      <c r="CG422" s="51"/>
      <c r="CH422" s="51"/>
      <c r="CI422" s="51"/>
      <c r="CJ422" s="51"/>
      <c r="CK422" s="51"/>
      <c r="CL422" s="51"/>
      <c r="CM422" s="51"/>
      <c r="CN422" s="51"/>
      <c r="CO422" s="51"/>
      <c r="CP422" s="51"/>
      <c r="CQ422" s="51"/>
      <c r="CR422" s="51"/>
      <c r="CS422" s="51"/>
      <c r="CT422" s="51"/>
      <c r="CU422" s="1"/>
      <c r="CV422" s="1"/>
      <c r="CW422" s="1"/>
      <c r="CX422" s="1"/>
      <c r="CY422" s="1"/>
      <c r="CZ422" s="1"/>
    </row>
    <row r="423" spans="1:104" ht="14.25" customHeight="1">
      <c r="A423" s="1"/>
      <c r="B423" s="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  <c r="CC423" s="51"/>
      <c r="CD423" s="51"/>
      <c r="CE423" s="51"/>
      <c r="CF423" s="51"/>
      <c r="CG423" s="51"/>
      <c r="CH423" s="51"/>
      <c r="CI423" s="51"/>
      <c r="CJ423" s="51"/>
      <c r="CK423" s="51"/>
      <c r="CL423" s="51"/>
      <c r="CM423" s="51"/>
      <c r="CN423" s="51"/>
      <c r="CO423" s="51"/>
      <c r="CP423" s="51"/>
      <c r="CQ423" s="51"/>
      <c r="CR423" s="51"/>
      <c r="CS423" s="51"/>
      <c r="CT423" s="51"/>
      <c r="CU423" s="1"/>
      <c r="CV423" s="1"/>
      <c r="CW423" s="1"/>
      <c r="CX423" s="1"/>
      <c r="CY423" s="1"/>
      <c r="CZ423" s="1"/>
    </row>
    <row r="424" spans="1:104" ht="14.25" customHeight="1">
      <c r="A424" s="1"/>
      <c r="B424" s="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  <c r="CE424" s="51"/>
      <c r="CF424" s="51"/>
      <c r="CG424" s="51"/>
      <c r="CH424" s="51"/>
      <c r="CI424" s="51"/>
      <c r="CJ424" s="51"/>
      <c r="CK424" s="51"/>
      <c r="CL424" s="51"/>
      <c r="CM424" s="51"/>
      <c r="CN424" s="51"/>
      <c r="CO424" s="51"/>
      <c r="CP424" s="51"/>
      <c r="CQ424" s="51"/>
      <c r="CR424" s="51"/>
      <c r="CS424" s="51"/>
      <c r="CT424" s="51"/>
      <c r="CU424" s="1"/>
      <c r="CV424" s="1"/>
      <c r="CW424" s="1"/>
      <c r="CX424" s="1"/>
      <c r="CY424" s="1"/>
      <c r="CZ424" s="1"/>
    </row>
    <row r="425" spans="1:104" ht="14.25" customHeight="1">
      <c r="A425" s="1"/>
      <c r="B425" s="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  <c r="CC425" s="51"/>
      <c r="CD425" s="51"/>
      <c r="CE425" s="51"/>
      <c r="CF425" s="51"/>
      <c r="CG425" s="51"/>
      <c r="CH425" s="51"/>
      <c r="CI425" s="51"/>
      <c r="CJ425" s="51"/>
      <c r="CK425" s="51"/>
      <c r="CL425" s="51"/>
      <c r="CM425" s="51"/>
      <c r="CN425" s="51"/>
      <c r="CO425" s="51"/>
      <c r="CP425" s="51"/>
      <c r="CQ425" s="51"/>
      <c r="CR425" s="51"/>
      <c r="CS425" s="51"/>
      <c r="CT425" s="51"/>
      <c r="CU425" s="1"/>
      <c r="CV425" s="1"/>
      <c r="CW425" s="1"/>
      <c r="CX425" s="1"/>
      <c r="CY425" s="1"/>
      <c r="CZ425" s="1"/>
    </row>
    <row r="426" spans="1:104" ht="14.25" customHeight="1">
      <c r="A426" s="1"/>
      <c r="B426" s="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  <c r="CC426" s="51"/>
      <c r="CD426" s="51"/>
      <c r="CE426" s="51"/>
      <c r="CF426" s="51"/>
      <c r="CG426" s="51"/>
      <c r="CH426" s="51"/>
      <c r="CI426" s="51"/>
      <c r="CJ426" s="51"/>
      <c r="CK426" s="51"/>
      <c r="CL426" s="51"/>
      <c r="CM426" s="51"/>
      <c r="CN426" s="51"/>
      <c r="CO426" s="51"/>
      <c r="CP426" s="51"/>
      <c r="CQ426" s="51"/>
      <c r="CR426" s="51"/>
      <c r="CS426" s="51"/>
      <c r="CT426" s="51"/>
      <c r="CU426" s="1"/>
      <c r="CV426" s="1"/>
      <c r="CW426" s="1"/>
      <c r="CX426" s="1"/>
      <c r="CY426" s="1"/>
      <c r="CZ426" s="1"/>
    </row>
    <row r="427" spans="1:104" ht="14.25" customHeight="1">
      <c r="A427" s="1"/>
      <c r="B427" s="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  <c r="CC427" s="51"/>
      <c r="CD427" s="51"/>
      <c r="CE427" s="51"/>
      <c r="CF427" s="51"/>
      <c r="CG427" s="51"/>
      <c r="CH427" s="51"/>
      <c r="CI427" s="51"/>
      <c r="CJ427" s="51"/>
      <c r="CK427" s="51"/>
      <c r="CL427" s="51"/>
      <c r="CM427" s="51"/>
      <c r="CN427" s="51"/>
      <c r="CO427" s="51"/>
      <c r="CP427" s="51"/>
      <c r="CQ427" s="51"/>
      <c r="CR427" s="51"/>
      <c r="CS427" s="51"/>
      <c r="CT427" s="51"/>
      <c r="CU427" s="1"/>
      <c r="CV427" s="1"/>
      <c r="CW427" s="1"/>
      <c r="CX427" s="1"/>
      <c r="CY427" s="1"/>
      <c r="CZ427" s="1"/>
    </row>
    <row r="428" spans="1:104" ht="14.25" customHeight="1">
      <c r="A428" s="1"/>
      <c r="B428" s="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  <c r="CE428" s="51"/>
      <c r="CF428" s="51"/>
      <c r="CG428" s="51"/>
      <c r="CH428" s="51"/>
      <c r="CI428" s="51"/>
      <c r="CJ428" s="51"/>
      <c r="CK428" s="51"/>
      <c r="CL428" s="51"/>
      <c r="CM428" s="51"/>
      <c r="CN428" s="51"/>
      <c r="CO428" s="51"/>
      <c r="CP428" s="51"/>
      <c r="CQ428" s="51"/>
      <c r="CR428" s="51"/>
      <c r="CS428" s="51"/>
      <c r="CT428" s="51"/>
      <c r="CU428" s="1"/>
      <c r="CV428" s="1"/>
      <c r="CW428" s="1"/>
      <c r="CX428" s="1"/>
      <c r="CY428" s="1"/>
      <c r="CZ428" s="1"/>
    </row>
    <row r="429" spans="1:104" ht="14.25" customHeight="1">
      <c r="A429" s="1"/>
      <c r="B429" s="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  <c r="CC429" s="51"/>
      <c r="CD429" s="51"/>
      <c r="CE429" s="51"/>
      <c r="CF429" s="51"/>
      <c r="CG429" s="51"/>
      <c r="CH429" s="51"/>
      <c r="CI429" s="51"/>
      <c r="CJ429" s="51"/>
      <c r="CK429" s="51"/>
      <c r="CL429" s="51"/>
      <c r="CM429" s="51"/>
      <c r="CN429" s="51"/>
      <c r="CO429" s="51"/>
      <c r="CP429" s="51"/>
      <c r="CQ429" s="51"/>
      <c r="CR429" s="51"/>
      <c r="CS429" s="51"/>
      <c r="CT429" s="51"/>
      <c r="CU429" s="1"/>
      <c r="CV429" s="1"/>
      <c r="CW429" s="1"/>
      <c r="CX429" s="1"/>
      <c r="CY429" s="1"/>
      <c r="CZ429" s="1"/>
    </row>
    <row r="430" spans="1:104" ht="14.25" customHeight="1">
      <c r="A430" s="1"/>
      <c r="B430" s="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  <c r="CC430" s="51"/>
      <c r="CD430" s="51"/>
      <c r="CE430" s="51"/>
      <c r="CF430" s="51"/>
      <c r="CG430" s="51"/>
      <c r="CH430" s="51"/>
      <c r="CI430" s="51"/>
      <c r="CJ430" s="51"/>
      <c r="CK430" s="51"/>
      <c r="CL430" s="51"/>
      <c r="CM430" s="51"/>
      <c r="CN430" s="51"/>
      <c r="CO430" s="51"/>
      <c r="CP430" s="51"/>
      <c r="CQ430" s="51"/>
      <c r="CR430" s="51"/>
      <c r="CS430" s="51"/>
      <c r="CT430" s="51"/>
      <c r="CU430" s="1"/>
      <c r="CV430" s="1"/>
      <c r="CW430" s="1"/>
      <c r="CX430" s="1"/>
      <c r="CY430" s="1"/>
      <c r="CZ430" s="1"/>
    </row>
    <row r="431" spans="1:104" ht="14.25" customHeight="1">
      <c r="A431" s="1"/>
      <c r="B431" s="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  <c r="CO431" s="51"/>
      <c r="CP431" s="51"/>
      <c r="CQ431" s="51"/>
      <c r="CR431" s="51"/>
      <c r="CS431" s="51"/>
      <c r="CT431" s="51"/>
      <c r="CU431" s="1"/>
      <c r="CV431" s="1"/>
      <c r="CW431" s="1"/>
      <c r="CX431" s="1"/>
      <c r="CY431" s="1"/>
      <c r="CZ431" s="1"/>
    </row>
    <row r="432" spans="1:104" ht="14.25" customHeight="1">
      <c r="A432" s="1"/>
      <c r="B432" s="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  <c r="CC432" s="51"/>
      <c r="CD432" s="51"/>
      <c r="CE432" s="51"/>
      <c r="CF432" s="51"/>
      <c r="CG432" s="51"/>
      <c r="CH432" s="51"/>
      <c r="CI432" s="51"/>
      <c r="CJ432" s="51"/>
      <c r="CK432" s="51"/>
      <c r="CL432" s="51"/>
      <c r="CM432" s="51"/>
      <c r="CN432" s="51"/>
      <c r="CO432" s="51"/>
      <c r="CP432" s="51"/>
      <c r="CQ432" s="51"/>
      <c r="CR432" s="51"/>
      <c r="CS432" s="51"/>
      <c r="CT432" s="51"/>
      <c r="CU432" s="1"/>
      <c r="CV432" s="1"/>
      <c r="CW432" s="1"/>
      <c r="CX432" s="1"/>
      <c r="CY432" s="1"/>
      <c r="CZ432" s="1"/>
    </row>
    <row r="433" spans="1:104" ht="14.25" customHeight="1">
      <c r="A433" s="1"/>
      <c r="B433" s="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  <c r="CE433" s="51"/>
      <c r="CF433" s="51"/>
      <c r="CG433" s="51"/>
      <c r="CH433" s="51"/>
      <c r="CI433" s="51"/>
      <c r="CJ433" s="51"/>
      <c r="CK433" s="51"/>
      <c r="CL433" s="51"/>
      <c r="CM433" s="51"/>
      <c r="CN433" s="51"/>
      <c r="CO433" s="51"/>
      <c r="CP433" s="51"/>
      <c r="CQ433" s="51"/>
      <c r="CR433" s="51"/>
      <c r="CS433" s="51"/>
      <c r="CT433" s="51"/>
      <c r="CU433" s="1"/>
      <c r="CV433" s="1"/>
      <c r="CW433" s="1"/>
      <c r="CX433" s="1"/>
      <c r="CY433" s="1"/>
      <c r="CZ433" s="1"/>
    </row>
    <row r="434" spans="1:104" ht="14.25" customHeight="1">
      <c r="A434" s="1"/>
      <c r="B434" s="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  <c r="CE434" s="51"/>
      <c r="CF434" s="51"/>
      <c r="CG434" s="51"/>
      <c r="CH434" s="51"/>
      <c r="CI434" s="51"/>
      <c r="CJ434" s="51"/>
      <c r="CK434" s="51"/>
      <c r="CL434" s="51"/>
      <c r="CM434" s="51"/>
      <c r="CN434" s="51"/>
      <c r="CO434" s="51"/>
      <c r="CP434" s="51"/>
      <c r="CQ434" s="51"/>
      <c r="CR434" s="51"/>
      <c r="CS434" s="51"/>
      <c r="CT434" s="51"/>
      <c r="CU434" s="1"/>
      <c r="CV434" s="1"/>
      <c r="CW434" s="1"/>
      <c r="CX434" s="1"/>
      <c r="CY434" s="1"/>
      <c r="CZ434" s="1"/>
    </row>
    <row r="435" spans="1:104" ht="14.25" customHeight="1">
      <c r="A435" s="1"/>
      <c r="B435" s="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  <c r="CE435" s="51"/>
      <c r="CF435" s="51"/>
      <c r="CG435" s="51"/>
      <c r="CH435" s="51"/>
      <c r="CI435" s="51"/>
      <c r="CJ435" s="51"/>
      <c r="CK435" s="51"/>
      <c r="CL435" s="51"/>
      <c r="CM435" s="51"/>
      <c r="CN435" s="51"/>
      <c r="CO435" s="51"/>
      <c r="CP435" s="51"/>
      <c r="CQ435" s="51"/>
      <c r="CR435" s="51"/>
      <c r="CS435" s="51"/>
      <c r="CT435" s="51"/>
      <c r="CU435" s="1"/>
      <c r="CV435" s="1"/>
      <c r="CW435" s="1"/>
      <c r="CX435" s="1"/>
      <c r="CY435" s="1"/>
      <c r="CZ435" s="1"/>
    </row>
    <row r="436" spans="1:104" ht="14.25" customHeight="1">
      <c r="A436" s="1"/>
      <c r="B436" s="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  <c r="CC436" s="51"/>
      <c r="CD436" s="51"/>
      <c r="CE436" s="51"/>
      <c r="CF436" s="51"/>
      <c r="CG436" s="51"/>
      <c r="CH436" s="51"/>
      <c r="CI436" s="51"/>
      <c r="CJ436" s="51"/>
      <c r="CK436" s="51"/>
      <c r="CL436" s="51"/>
      <c r="CM436" s="51"/>
      <c r="CN436" s="51"/>
      <c r="CO436" s="51"/>
      <c r="CP436" s="51"/>
      <c r="CQ436" s="51"/>
      <c r="CR436" s="51"/>
      <c r="CS436" s="51"/>
      <c r="CT436" s="51"/>
      <c r="CU436" s="1"/>
      <c r="CV436" s="1"/>
      <c r="CW436" s="1"/>
      <c r="CX436" s="1"/>
      <c r="CY436" s="1"/>
      <c r="CZ436" s="1"/>
    </row>
    <row r="437" spans="1:104" ht="14.25" customHeight="1">
      <c r="A437" s="1"/>
      <c r="B437" s="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  <c r="CO437" s="51"/>
      <c r="CP437" s="51"/>
      <c r="CQ437" s="51"/>
      <c r="CR437" s="51"/>
      <c r="CS437" s="51"/>
      <c r="CT437" s="51"/>
      <c r="CU437" s="1"/>
      <c r="CV437" s="1"/>
      <c r="CW437" s="1"/>
      <c r="CX437" s="1"/>
      <c r="CY437" s="1"/>
      <c r="CZ437" s="1"/>
    </row>
    <row r="438" spans="1:104" ht="14.25" customHeight="1">
      <c r="A438" s="1"/>
      <c r="B438" s="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  <c r="CC438" s="51"/>
      <c r="CD438" s="51"/>
      <c r="CE438" s="51"/>
      <c r="CF438" s="51"/>
      <c r="CG438" s="51"/>
      <c r="CH438" s="51"/>
      <c r="CI438" s="51"/>
      <c r="CJ438" s="51"/>
      <c r="CK438" s="51"/>
      <c r="CL438" s="51"/>
      <c r="CM438" s="51"/>
      <c r="CN438" s="51"/>
      <c r="CO438" s="51"/>
      <c r="CP438" s="51"/>
      <c r="CQ438" s="51"/>
      <c r="CR438" s="51"/>
      <c r="CS438" s="51"/>
      <c r="CT438" s="51"/>
      <c r="CU438" s="1"/>
      <c r="CV438" s="1"/>
      <c r="CW438" s="1"/>
      <c r="CX438" s="1"/>
      <c r="CY438" s="1"/>
      <c r="CZ438" s="1"/>
    </row>
    <row r="439" spans="1:104" ht="14.25" customHeight="1">
      <c r="A439" s="1"/>
      <c r="B439" s="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  <c r="CC439" s="51"/>
      <c r="CD439" s="51"/>
      <c r="CE439" s="51"/>
      <c r="CF439" s="51"/>
      <c r="CG439" s="51"/>
      <c r="CH439" s="51"/>
      <c r="CI439" s="51"/>
      <c r="CJ439" s="51"/>
      <c r="CK439" s="51"/>
      <c r="CL439" s="51"/>
      <c r="CM439" s="51"/>
      <c r="CN439" s="51"/>
      <c r="CO439" s="51"/>
      <c r="CP439" s="51"/>
      <c r="CQ439" s="51"/>
      <c r="CR439" s="51"/>
      <c r="CS439" s="51"/>
      <c r="CT439" s="51"/>
      <c r="CU439" s="1"/>
      <c r="CV439" s="1"/>
      <c r="CW439" s="1"/>
      <c r="CX439" s="1"/>
      <c r="CY439" s="1"/>
      <c r="CZ439" s="1"/>
    </row>
    <row r="440" spans="1:104" ht="14.25" customHeight="1">
      <c r="A440" s="1"/>
      <c r="B440" s="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  <c r="CO440" s="51"/>
      <c r="CP440" s="51"/>
      <c r="CQ440" s="51"/>
      <c r="CR440" s="51"/>
      <c r="CS440" s="51"/>
      <c r="CT440" s="51"/>
      <c r="CU440" s="1"/>
      <c r="CV440" s="1"/>
      <c r="CW440" s="1"/>
      <c r="CX440" s="1"/>
      <c r="CY440" s="1"/>
      <c r="CZ440" s="1"/>
    </row>
    <row r="441" spans="1:104" ht="14.25" customHeight="1">
      <c r="A441" s="1"/>
      <c r="B441" s="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  <c r="CC441" s="51"/>
      <c r="CD441" s="51"/>
      <c r="CE441" s="51"/>
      <c r="CF441" s="51"/>
      <c r="CG441" s="51"/>
      <c r="CH441" s="51"/>
      <c r="CI441" s="51"/>
      <c r="CJ441" s="51"/>
      <c r="CK441" s="51"/>
      <c r="CL441" s="51"/>
      <c r="CM441" s="51"/>
      <c r="CN441" s="51"/>
      <c r="CO441" s="51"/>
      <c r="CP441" s="51"/>
      <c r="CQ441" s="51"/>
      <c r="CR441" s="51"/>
      <c r="CS441" s="51"/>
      <c r="CT441" s="51"/>
      <c r="CU441" s="1"/>
      <c r="CV441" s="1"/>
      <c r="CW441" s="1"/>
      <c r="CX441" s="1"/>
      <c r="CY441" s="1"/>
      <c r="CZ441" s="1"/>
    </row>
    <row r="442" spans="1:104" ht="14.25" customHeight="1">
      <c r="A442" s="1"/>
      <c r="B442" s="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  <c r="CC442" s="51"/>
      <c r="CD442" s="51"/>
      <c r="CE442" s="51"/>
      <c r="CF442" s="51"/>
      <c r="CG442" s="51"/>
      <c r="CH442" s="51"/>
      <c r="CI442" s="51"/>
      <c r="CJ442" s="51"/>
      <c r="CK442" s="51"/>
      <c r="CL442" s="51"/>
      <c r="CM442" s="51"/>
      <c r="CN442" s="51"/>
      <c r="CO442" s="51"/>
      <c r="CP442" s="51"/>
      <c r="CQ442" s="51"/>
      <c r="CR442" s="51"/>
      <c r="CS442" s="51"/>
      <c r="CT442" s="51"/>
      <c r="CU442" s="1"/>
      <c r="CV442" s="1"/>
      <c r="CW442" s="1"/>
      <c r="CX442" s="1"/>
      <c r="CY442" s="1"/>
      <c r="CZ442" s="1"/>
    </row>
    <row r="443" spans="1:104" ht="14.25" customHeight="1">
      <c r="A443" s="1"/>
      <c r="B443" s="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  <c r="CE443" s="51"/>
      <c r="CF443" s="51"/>
      <c r="CG443" s="51"/>
      <c r="CH443" s="51"/>
      <c r="CI443" s="51"/>
      <c r="CJ443" s="51"/>
      <c r="CK443" s="51"/>
      <c r="CL443" s="51"/>
      <c r="CM443" s="51"/>
      <c r="CN443" s="51"/>
      <c r="CO443" s="51"/>
      <c r="CP443" s="51"/>
      <c r="CQ443" s="51"/>
      <c r="CR443" s="51"/>
      <c r="CS443" s="51"/>
      <c r="CT443" s="51"/>
      <c r="CU443" s="1"/>
      <c r="CV443" s="1"/>
      <c r="CW443" s="1"/>
      <c r="CX443" s="1"/>
      <c r="CY443" s="1"/>
      <c r="CZ443" s="1"/>
    </row>
    <row r="444" spans="1:104" ht="14.25" customHeight="1">
      <c r="A444" s="1"/>
      <c r="B444" s="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  <c r="CC444" s="51"/>
      <c r="CD444" s="51"/>
      <c r="CE444" s="51"/>
      <c r="CF444" s="51"/>
      <c r="CG444" s="51"/>
      <c r="CH444" s="51"/>
      <c r="CI444" s="51"/>
      <c r="CJ444" s="51"/>
      <c r="CK444" s="51"/>
      <c r="CL444" s="51"/>
      <c r="CM444" s="51"/>
      <c r="CN444" s="51"/>
      <c r="CO444" s="51"/>
      <c r="CP444" s="51"/>
      <c r="CQ444" s="51"/>
      <c r="CR444" s="51"/>
      <c r="CS444" s="51"/>
      <c r="CT444" s="51"/>
      <c r="CU444" s="1"/>
      <c r="CV444" s="1"/>
      <c r="CW444" s="1"/>
      <c r="CX444" s="1"/>
      <c r="CY444" s="1"/>
      <c r="CZ444" s="1"/>
    </row>
    <row r="445" spans="1:104" ht="14.25" customHeight="1">
      <c r="A445" s="1"/>
      <c r="B445" s="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H445" s="51"/>
      <c r="CI445" s="51"/>
      <c r="CJ445" s="51"/>
      <c r="CK445" s="51"/>
      <c r="CL445" s="51"/>
      <c r="CM445" s="51"/>
      <c r="CN445" s="51"/>
      <c r="CO445" s="51"/>
      <c r="CP445" s="51"/>
      <c r="CQ445" s="51"/>
      <c r="CR445" s="51"/>
      <c r="CS445" s="51"/>
      <c r="CT445" s="51"/>
      <c r="CU445" s="1"/>
      <c r="CV445" s="1"/>
      <c r="CW445" s="1"/>
      <c r="CX445" s="1"/>
      <c r="CY445" s="1"/>
      <c r="CZ445" s="1"/>
    </row>
    <row r="446" spans="1:104" ht="14.25" customHeight="1">
      <c r="A446" s="1"/>
      <c r="B446" s="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1"/>
      <c r="CV446" s="1"/>
      <c r="CW446" s="1"/>
      <c r="CX446" s="1"/>
      <c r="CY446" s="1"/>
      <c r="CZ446" s="1"/>
    </row>
    <row r="447" spans="1:104" ht="14.25" customHeight="1">
      <c r="A447" s="1"/>
      <c r="B447" s="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H447" s="51"/>
      <c r="CI447" s="51"/>
      <c r="CJ447" s="51"/>
      <c r="CK447" s="51"/>
      <c r="CL447" s="51"/>
      <c r="CM447" s="51"/>
      <c r="CN447" s="51"/>
      <c r="CO447" s="51"/>
      <c r="CP447" s="51"/>
      <c r="CQ447" s="51"/>
      <c r="CR447" s="51"/>
      <c r="CS447" s="51"/>
      <c r="CT447" s="51"/>
      <c r="CU447" s="1"/>
      <c r="CV447" s="1"/>
      <c r="CW447" s="1"/>
      <c r="CX447" s="1"/>
      <c r="CY447" s="1"/>
      <c r="CZ447" s="1"/>
    </row>
    <row r="448" spans="1:104" ht="14.25" customHeight="1">
      <c r="A448" s="1"/>
      <c r="B448" s="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51"/>
      <c r="CQ448" s="51"/>
      <c r="CR448" s="51"/>
      <c r="CS448" s="51"/>
      <c r="CT448" s="51"/>
      <c r="CU448" s="1"/>
      <c r="CV448" s="1"/>
      <c r="CW448" s="1"/>
      <c r="CX448" s="1"/>
      <c r="CY448" s="1"/>
      <c r="CZ448" s="1"/>
    </row>
    <row r="449" spans="1:104" ht="14.25" customHeight="1">
      <c r="A449" s="1"/>
      <c r="B449" s="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H449" s="51"/>
      <c r="CI449" s="51"/>
      <c r="CJ449" s="51"/>
      <c r="CK449" s="51"/>
      <c r="CL449" s="51"/>
      <c r="CM449" s="51"/>
      <c r="CN449" s="51"/>
      <c r="CO449" s="51"/>
      <c r="CP449" s="51"/>
      <c r="CQ449" s="51"/>
      <c r="CR449" s="51"/>
      <c r="CS449" s="51"/>
      <c r="CT449" s="51"/>
      <c r="CU449" s="1"/>
      <c r="CV449" s="1"/>
      <c r="CW449" s="1"/>
      <c r="CX449" s="1"/>
      <c r="CY449" s="1"/>
      <c r="CZ449" s="1"/>
    </row>
    <row r="450" spans="1:104" ht="14.25" customHeight="1">
      <c r="A450" s="1"/>
      <c r="B450" s="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H450" s="51"/>
      <c r="CI450" s="51"/>
      <c r="CJ450" s="51"/>
      <c r="CK450" s="51"/>
      <c r="CL450" s="51"/>
      <c r="CM450" s="51"/>
      <c r="CN450" s="51"/>
      <c r="CO450" s="51"/>
      <c r="CP450" s="51"/>
      <c r="CQ450" s="51"/>
      <c r="CR450" s="51"/>
      <c r="CS450" s="51"/>
      <c r="CT450" s="51"/>
      <c r="CU450" s="1"/>
      <c r="CV450" s="1"/>
      <c r="CW450" s="1"/>
      <c r="CX450" s="1"/>
      <c r="CY450" s="1"/>
      <c r="CZ450" s="1"/>
    </row>
    <row r="451" spans="1:104" ht="14.25" customHeight="1">
      <c r="A451" s="1"/>
      <c r="B451" s="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51"/>
      <c r="CQ451" s="51"/>
      <c r="CR451" s="51"/>
      <c r="CS451" s="51"/>
      <c r="CT451" s="51"/>
      <c r="CU451" s="1"/>
      <c r="CV451" s="1"/>
      <c r="CW451" s="1"/>
      <c r="CX451" s="1"/>
      <c r="CY451" s="1"/>
      <c r="CZ451" s="1"/>
    </row>
    <row r="452" spans="1:104" ht="14.25" customHeight="1">
      <c r="A452" s="1"/>
      <c r="B452" s="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51"/>
      <c r="CQ452" s="51"/>
      <c r="CR452" s="51"/>
      <c r="CS452" s="51"/>
      <c r="CT452" s="51"/>
      <c r="CU452" s="1"/>
      <c r="CV452" s="1"/>
      <c r="CW452" s="1"/>
      <c r="CX452" s="1"/>
      <c r="CY452" s="1"/>
      <c r="CZ452" s="1"/>
    </row>
    <row r="453" spans="1:104" ht="14.25" customHeight="1">
      <c r="A453" s="1"/>
      <c r="B453" s="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H453" s="51"/>
      <c r="CI453" s="51"/>
      <c r="CJ453" s="51"/>
      <c r="CK453" s="51"/>
      <c r="CL453" s="51"/>
      <c r="CM453" s="51"/>
      <c r="CN453" s="51"/>
      <c r="CO453" s="51"/>
      <c r="CP453" s="51"/>
      <c r="CQ453" s="51"/>
      <c r="CR453" s="51"/>
      <c r="CS453" s="51"/>
      <c r="CT453" s="51"/>
      <c r="CU453" s="1"/>
      <c r="CV453" s="1"/>
      <c r="CW453" s="1"/>
      <c r="CX453" s="1"/>
      <c r="CY453" s="1"/>
      <c r="CZ453" s="1"/>
    </row>
    <row r="454" spans="1:104" ht="14.25" customHeight="1">
      <c r="A454" s="1"/>
      <c r="B454" s="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H454" s="51"/>
      <c r="CI454" s="51"/>
      <c r="CJ454" s="51"/>
      <c r="CK454" s="51"/>
      <c r="CL454" s="51"/>
      <c r="CM454" s="51"/>
      <c r="CN454" s="51"/>
      <c r="CO454" s="51"/>
      <c r="CP454" s="51"/>
      <c r="CQ454" s="51"/>
      <c r="CR454" s="51"/>
      <c r="CS454" s="51"/>
      <c r="CT454" s="51"/>
      <c r="CU454" s="1"/>
      <c r="CV454" s="1"/>
      <c r="CW454" s="1"/>
      <c r="CX454" s="1"/>
      <c r="CY454" s="1"/>
      <c r="CZ454" s="1"/>
    </row>
    <row r="455" spans="1:104" ht="14.25" customHeight="1">
      <c r="A455" s="1"/>
      <c r="B455" s="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  <c r="CE455" s="51"/>
      <c r="CF455" s="51"/>
      <c r="CG455" s="51"/>
      <c r="CH455" s="51"/>
      <c r="CI455" s="51"/>
      <c r="CJ455" s="51"/>
      <c r="CK455" s="51"/>
      <c r="CL455" s="51"/>
      <c r="CM455" s="51"/>
      <c r="CN455" s="51"/>
      <c r="CO455" s="51"/>
      <c r="CP455" s="51"/>
      <c r="CQ455" s="51"/>
      <c r="CR455" s="51"/>
      <c r="CS455" s="51"/>
      <c r="CT455" s="51"/>
      <c r="CU455" s="1"/>
      <c r="CV455" s="1"/>
      <c r="CW455" s="1"/>
      <c r="CX455" s="1"/>
      <c r="CY455" s="1"/>
      <c r="CZ455" s="1"/>
    </row>
    <row r="456" spans="1:104" ht="14.25" customHeight="1">
      <c r="A456" s="1"/>
      <c r="B456" s="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  <c r="CC456" s="51"/>
      <c r="CD456" s="51"/>
      <c r="CE456" s="51"/>
      <c r="CF456" s="51"/>
      <c r="CG456" s="51"/>
      <c r="CH456" s="51"/>
      <c r="CI456" s="51"/>
      <c r="CJ456" s="51"/>
      <c r="CK456" s="51"/>
      <c r="CL456" s="51"/>
      <c r="CM456" s="51"/>
      <c r="CN456" s="51"/>
      <c r="CO456" s="51"/>
      <c r="CP456" s="51"/>
      <c r="CQ456" s="51"/>
      <c r="CR456" s="51"/>
      <c r="CS456" s="51"/>
      <c r="CT456" s="51"/>
      <c r="CU456" s="1"/>
      <c r="CV456" s="1"/>
      <c r="CW456" s="1"/>
      <c r="CX456" s="1"/>
      <c r="CY456" s="1"/>
      <c r="CZ456" s="1"/>
    </row>
    <row r="457" spans="1:104" ht="14.25" customHeight="1">
      <c r="A457" s="1"/>
      <c r="B457" s="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  <c r="CE457" s="51"/>
      <c r="CF457" s="51"/>
      <c r="CG457" s="51"/>
      <c r="CH457" s="51"/>
      <c r="CI457" s="51"/>
      <c r="CJ457" s="51"/>
      <c r="CK457" s="51"/>
      <c r="CL457" s="51"/>
      <c r="CM457" s="51"/>
      <c r="CN457" s="51"/>
      <c r="CO457" s="51"/>
      <c r="CP457" s="51"/>
      <c r="CQ457" s="51"/>
      <c r="CR457" s="51"/>
      <c r="CS457" s="51"/>
      <c r="CT457" s="51"/>
      <c r="CU457" s="1"/>
      <c r="CV457" s="1"/>
      <c r="CW457" s="1"/>
      <c r="CX457" s="1"/>
      <c r="CY457" s="1"/>
      <c r="CZ457" s="1"/>
    </row>
    <row r="458" spans="1:104" ht="14.25" customHeight="1">
      <c r="A458" s="1"/>
      <c r="B458" s="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  <c r="CC458" s="51"/>
      <c r="CD458" s="51"/>
      <c r="CE458" s="51"/>
      <c r="CF458" s="51"/>
      <c r="CG458" s="51"/>
      <c r="CH458" s="51"/>
      <c r="CI458" s="51"/>
      <c r="CJ458" s="51"/>
      <c r="CK458" s="51"/>
      <c r="CL458" s="51"/>
      <c r="CM458" s="51"/>
      <c r="CN458" s="51"/>
      <c r="CO458" s="51"/>
      <c r="CP458" s="51"/>
      <c r="CQ458" s="51"/>
      <c r="CR458" s="51"/>
      <c r="CS458" s="51"/>
      <c r="CT458" s="51"/>
      <c r="CU458" s="1"/>
      <c r="CV458" s="1"/>
      <c r="CW458" s="1"/>
      <c r="CX458" s="1"/>
      <c r="CY458" s="1"/>
      <c r="CZ458" s="1"/>
    </row>
    <row r="459" spans="1:104" ht="14.25" customHeight="1">
      <c r="A459" s="1"/>
      <c r="B459" s="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H459" s="51"/>
      <c r="CI459" s="51"/>
      <c r="CJ459" s="51"/>
      <c r="CK459" s="51"/>
      <c r="CL459" s="51"/>
      <c r="CM459" s="51"/>
      <c r="CN459" s="51"/>
      <c r="CO459" s="51"/>
      <c r="CP459" s="51"/>
      <c r="CQ459" s="51"/>
      <c r="CR459" s="51"/>
      <c r="CS459" s="51"/>
      <c r="CT459" s="51"/>
      <c r="CU459" s="1"/>
      <c r="CV459" s="1"/>
      <c r="CW459" s="1"/>
      <c r="CX459" s="1"/>
      <c r="CY459" s="1"/>
      <c r="CZ459" s="1"/>
    </row>
    <row r="460" spans="1:104" ht="14.25" customHeight="1">
      <c r="A460" s="1"/>
      <c r="B460" s="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H460" s="51"/>
      <c r="CI460" s="51"/>
      <c r="CJ460" s="51"/>
      <c r="CK460" s="51"/>
      <c r="CL460" s="51"/>
      <c r="CM460" s="51"/>
      <c r="CN460" s="51"/>
      <c r="CO460" s="51"/>
      <c r="CP460" s="51"/>
      <c r="CQ460" s="51"/>
      <c r="CR460" s="51"/>
      <c r="CS460" s="51"/>
      <c r="CT460" s="51"/>
      <c r="CU460" s="1"/>
      <c r="CV460" s="1"/>
      <c r="CW460" s="1"/>
      <c r="CX460" s="1"/>
      <c r="CY460" s="1"/>
      <c r="CZ460" s="1"/>
    </row>
    <row r="461" spans="1:104" ht="14.25" customHeight="1">
      <c r="A461" s="1"/>
      <c r="B461" s="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H461" s="51"/>
      <c r="CI461" s="51"/>
      <c r="CJ461" s="51"/>
      <c r="CK461" s="51"/>
      <c r="CL461" s="51"/>
      <c r="CM461" s="51"/>
      <c r="CN461" s="51"/>
      <c r="CO461" s="51"/>
      <c r="CP461" s="51"/>
      <c r="CQ461" s="51"/>
      <c r="CR461" s="51"/>
      <c r="CS461" s="51"/>
      <c r="CT461" s="51"/>
      <c r="CU461" s="1"/>
      <c r="CV461" s="1"/>
      <c r="CW461" s="1"/>
      <c r="CX461" s="1"/>
      <c r="CY461" s="1"/>
      <c r="CZ461" s="1"/>
    </row>
    <row r="462" spans="1:104" ht="14.25" customHeight="1">
      <c r="A462" s="1"/>
      <c r="B462" s="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H462" s="51"/>
      <c r="CI462" s="51"/>
      <c r="CJ462" s="51"/>
      <c r="CK462" s="51"/>
      <c r="CL462" s="51"/>
      <c r="CM462" s="51"/>
      <c r="CN462" s="51"/>
      <c r="CO462" s="51"/>
      <c r="CP462" s="51"/>
      <c r="CQ462" s="51"/>
      <c r="CR462" s="51"/>
      <c r="CS462" s="51"/>
      <c r="CT462" s="51"/>
      <c r="CU462" s="1"/>
      <c r="CV462" s="1"/>
      <c r="CW462" s="1"/>
      <c r="CX462" s="1"/>
      <c r="CY462" s="1"/>
      <c r="CZ462" s="1"/>
    </row>
    <row r="463" spans="1:104" ht="14.25" customHeight="1">
      <c r="A463" s="1"/>
      <c r="B463" s="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H463" s="51"/>
      <c r="CI463" s="51"/>
      <c r="CJ463" s="51"/>
      <c r="CK463" s="51"/>
      <c r="CL463" s="51"/>
      <c r="CM463" s="51"/>
      <c r="CN463" s="51"/>
      <c r="CO463" s="51"/>
      <c r="CP463" s="51"/>
      <c r="CQ463" s="51"/>
      <c r="CR463" s="51"/>
      <c r="CS463" s="51"/>
      <c r="CT463" s="51"/>
      <c r="CU463" s="1"/>
      <c r="CV463" s="1"/>
      <c r="CW463" s="1"/>
      <c r="CX463" s="1"/>
      <c r="CY463" s="1"/>
      <c r="CZ463" s="1"/>
    </row>
    <row r="464" spans="1:104" ht="14.25" customHeight="1">
      <c r="A464" s="1"/>
      <c r="B464" s="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H464" s="51"/>
      <c r="CI464" s="51"/>
      <c r="CJ464" s="51"/>
      <c r="CK464" s="51"/>
      <c r="CL464" s="51"/>
      <c r="CM464" s="51"/>
      <c r="CN464" s="51"/>
      <c r="CO464" s="51"/>
      <c r="CP464" s="51"/>
      <c r="CQ464" s="51"/>
      <c r="CR464" s="51"/>
      <c r="CS464" s="51"/>
      <c r="CT464" s="51"/>
      <c r="CU464" s="1"/>
      <c r="CV464" s="1"/>
      <c r="CW464" s="1"/>
      <c r="CX464" s="1"/>
      <c r="CY464" s="1"/>
      <c r="CZ464" s="1"/>
    </row>
    <row r="465" spans="1:104" ht="14.25" customHeight="1">
      <c r="A465" s="1"/>
      <c r="B465" s="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1"/>
      <c r="CI465" s="51"/>
      <c r="CJ465" s="51"/>
      <c r="CK465" s="51"/>
      <c r="CL465" s="51"/>
      <c r="CM465" s="51"/>
      <c r="CN465" s="51"/>
      <c r="CO465" s="51"/>
      <c r="CP465" s="51"/>
      <c r="CQ465" s="51"/>
      <c r="CR465" s="51"/>
      <c r="CS465" s="51"/>
      <c r="CT465" s="51"/>
      <c r="CU465" s="1"/>
      <c r="CV465" s="1"/>
      <c r="CW465" s="1"/>
      <c r="CX465" s="1"/>
      <c r="CY465" s="1"/>
      <c r="CZ465" s="1"/>
    </row>
    <row r="466" spans="1:104" ht="14.25" customHeight="1">
      <c r="A466" s="1"/>
      <c r="B466" s="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H466" s="51"/>
      <c r="CI466" s="51"/>
      <c r="CJ466" s="51"/>
      <c r="CK466" s="51"/>
      <c r="CL466" s="51"/>
      <c r="CM466" s="51"/>
      <c r="CN466" s="51"/>
      <c r="CO466" s="51"/>
      <c r="CP466" s="51"/>
      <c r="CQ466" s="51"/>
      <c r="CR466" s="51"/>
      <c r="CS466" s="51"/>
      <c r="CT466" s="51"/>
      <c r="CU466" s="1"/>
      <c r="CV466" s="1"/>
      <c r="CW466" s="1"/>
      <c r="CX466" s="1"/>
      <c r="CY466" s="1"/>
      <c r="CZ466" s="1"/>
    </row>
    <row r="467" spans="1:104" ht="14.25" customHeight="1">
      <c r="A467" s="1"/>
      <c r="B467" s="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H467" s="51"/>
      <c r="CI467" s="51"/>
      <c r="CJ467" s="51"/>
      <c r="CK467" s="51"/>
      <c r="CL467" s="51"/>
      <c r="CM467" s="51"/>
      <c r="CN467" s="51"/>
      <c r="CO467" s="51"/>
      <c r="CP467" s="51"/>
      <c r="CQ467" s="51"/>
      <c r="CR467" s="51"/>
      <c r="CS467" s="51"/>
      <c r="CT467" s="51"/>
      <c r="CU467" s="1"/>
      <c r="CV467" s="1"/>
      <c r="CW467" s="1"/>
      <c r="CX467" s="1"/>
      <c r="CY467" s="1"/>
      <c r="CZ467" s="1"/>
    </row>
    <row r="468" spans="1:104" ht="14.25" customHeight="1">
      <c r="A468" s="1"/>
      <c r="B468" s="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1"/>
      <c r="CV468" s="1"/>
      <c r="CW468" s="1"/>
      <c r="CX468" s="1"/>
      <c r="CY468" s="1"/>
      <c r="CZ468" s="1"/>
    </row>
    <row r="469" spans="1:104" ht="14.25" customHeight="1">
      <c r="A469" s="1"/>
      <c r="B469" s="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  <c r="CC469" s="51"/>
      <c r="CD469" s="51"/>
      <c r="CE469" s="51"/>
      <c r="CF469" s="51"/>
      <c r="CG469" s="51"/>
      <c r="CH469" s="51"/>
      <c r="CI469" s="51"/>
      <c r="CJ469" s="51"/>
      <c r="CK469" s="51"/>
      <c r="CL469" s="51"/>
      <c r="CM469" s="51"/>
      <c r="CN469" s="51"/>
      <c r="CO469" s="51"/>
      <c r="CP469" s="51"/>
      <c r="CQ469" s="51"/>
      <c r="CR469" s="51"/>
      <c r="CS469" s="51"/>
      <c r="CT469" s="51"/>
      <c r="CU469" s="1"/>
      <c r="CV469" s="1"/>
      <c r="CW469" s="1"/>
      <c r="CX469" s="1"/>
      <c r="CY469" s="1"/>
      <c r="CZ469" s="1"/>
    </row>
    <row r="470" spans="1:104" ht="14.25" customHeight="1">
      <c r="A470" s="1"/>
      <c r="B470" s="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  <c r="CC470" s="51"/>
      <c r="CD470" s="51"/>
      <c r="CE470" s="51"/>
      <c r="CF470" s="51"/>
      <c r="CG470" s="51"/>
      <c r="CH470" s="51"/>
      <c r="CI470" s="51"/>
      <c r="CJ470" s="51"/>
      <c r="CK470" s="51"/>
      <c r="CL470" s="51"/>
      <c r="CM470" s="51"/>
      <c r="CN470" s="51"/>
      <c r="CO470" s="51"/>
      <c r="CP470" s="51"/>
      <c r="CQ470" s="51"/>
      <c r="CR470" s="51"/>
      <c r="CS470" s="51"/>
      <c r="CT470" s="51"/>
      <c r="CU470" s="1"/>
      <c r="CV470" s="1"/>
      <c r="CW470" s="1"/>
      <c r="CX470" s="1"/>
      <c r="CY470" s="1"/>
      <c r="CZ470" s="1"/>
    </row>
    <row r="471" spans="1:104" ht="14.25" customHeight="1">
      <c r="A471" s="1"/>
      <c r="B471" s="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  <c r="CC471" s="51"/>
      <c r="CD471" s="51"/>
      <c r="CE471" s="51"/>
      <c r="CF471" s="51"/>
      <c r="CG471" s="51"/>
      <c r="CH471" s="51"/>
      <c r="CI471" s="51"/>
      <c r="CJ471" s="51"/>
      <c r="CK471" s="51"/>
      <c r="CL471" s="51"/>
      <c r="CM471" s="51"/>
      <c r="CN471" s="51"/>
      <c r="CO471" s="51"/>
      <c r="CP471" s="51"/>
      <c r="CQ471" s="51"/>
      <c r="CR471" s="51"/>
      <c r="CS471" s="51"/>
      <c r="CT471" s="51"/>
      <c r="CU471" s="1"/>
      <c r="CV471" s="1"/>
      <c r="CW471" s="1"/>
      <c r="CX471" s="1"/>
      <c r="CY471" s="1"/>
      <c r="CZ471" s="1"/>
    </row>
    <row r="472" spans="1:104" ht="14.25" customHeight="1">
      <c r="A472" s="1"/>
      <c r="B472" s="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  <c r="CC472" s="51"/>
      <c r="CD472" s="51"/>
      <c r="CE472" s="51"/>
      <c r="CF472" s="51"/>
      <c r="CG472" s="51"/>
      <c r="CH472" s="51"/>
      <c r="CI472" s="51"/>
      <c r="CJ472" s="51"/>
      <c r="CK472" s="51"/>
      <c r="CL472" s="51"/>
      <c r="CM472" s="51"/>
      <c r="CN472" s="51"/>
      <c r="CO472" s="51"/>
      <c r="CP472" s="51"/>
      <c r="CQ472" s="51"/>
      <c r="CR472" s="51"/>
      <c r="CS472" s="51"/>
      <c r="CT472" s="51"/>
      <c r="CU472" s="1"/>
      <c r="CV472" s="1"/>
      <c r="CW472" s="1"/>
      <c r="CX472" s="1"/>
      <c r="CY472" s="1"/>
      <c r="CZ472" s="1"/>
    </row>
    <row r="473" spans="1:104" ht="14.25" customHeight="1">
      <c r="A473" s="1"/>
      <c r="B473" s="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  <c r="CC473" s="51"/>
      <c r="CD473" s="51"/>
      <c r="CE473" s="51"/>
      <c r="CF473" s="51"/>
      <c r="CG473" s="51"/>
      <c r="CH473" s="51"/>
      <c r="CI473" s="51"/>
      <c r="CJ473" s="51"/>
      <c r="CK473" s="51"/>
      <c r="CL473" s="51"/>
      <c r="CM473" s="51"/>
      <c r="CN473" s="51"/>
      <c r="CO473" s="51"/>
      <c r="CP473" s="51"/>
      <c r="CQ473" s="51"/>
      <c r="CR473" s="51"/>
      <c r="CS473" s="51"/>
      <c r="CT473" s="51"/>
      <c r="CU473" s="1"/>
      <c r="CV473" s="1"/>
      <c r="CW473" s="1"/>
      <c r="CX473" s="1"/>
      <c r="CY473" s="1"/>
      <c r="CZ473" s="1"/>
    </row>
    <row r="474" spans="1:104" ht="14.25" customHeight="1">
      <c r="A474" s="1"/>
      <c r="B474" s="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  <c r="CC474" s="51"/>
      <c r="CD474" s="51"/>
      <c r="CE474" s="51"/>
      <c r="CF474" s="51"/>
      <c r="CG474" s="51"/>
      <c r="CH474" s="51"/>
      <c r="CI474" s="51"/>
      <c r="CJ474" s="51"/>
      <c r="CK474" s="51"/>
      <c r="CL474" s="51"/>
      <c r="CM474" s="51"/>
      <c r="CN474" s="51"/>
      <c r="CO474" s="51"/>
      <c r="CP474" s="51"/>
      <c r="CQ474" s="51"/>
      <c r="CR474" s="51"/>
      <c r="CS474" s="51"/>
      <c r="CT474" s="51"/>
      <c r="CU474" s="1"/>
      <c r="CV474" s="1"/>
      <c r="CW474" s="1"/>
      <c r="CX474" s="1"/>
      <c r="CY474" s="1"/>
      <c r="CZ474" s="1"/>
    </row>
    <row r="475" spans="1:104" ht="14.25" customHeight="1">
      <c r="A475" s="1"/>
      <c r="B475" s="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H475" s="51"/>
      <c r="CI475" s="51"/>
      <c r="CJ475" s="51"/>
      <c r="CK475" s="51"/>
      <c r="CL475" s="51"/>
      <c r="CM475" s="51"/>
      <c r="CN475" s="51"/>
      <c r="CO475" s="51"/>
      <c r="CP475" s="51"/>
      <c r="CQ475" s="51"/>
      <c r="CR475" s="51"/>
      <c r="CS475" s="51"/>
      <c r="CT475" s="51"/>
      <c r="CU475" s="1"/>
      <c r="CV475" s="1"/>
      <c r="CW475" s="1"/>
      <c r="CX475" s="1"/>
      <c r="CY475" s="1"/>
      <c r="CZ475" s="1"/>
    </row>
    <row r="476" spans="1:104" ht="14.25" customHeight="1">
      <c r="A476" s="1"/>
      <c r="B476" s="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  <c r="CO476" s="51"/>
      <c r="CP476" s="51"/>
      <c r="CQ476" s="51"/>
      <c r="CR476" s="51"/>
      <c r="CS476" s="51"/>
      <c r="CT476" s="51"/>
      <c r="CU476" s="1"/>
      <c r="CV476" s="1"/>
      <c r="CW476" s="1"/>
      <c r="CX476" s="1"/>
      <c r="CY476" s="1"/>
      <c r="CZ476" s="1"/>
    </row>
    <row r="477" spans="1:104" ht="14.25" customHeight="1">
      <c r="A477" s="1"/>
      <c r="B477" s="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H477" s="51"/>
      <c r="CI477" s="51"/>
      <c r="CJ477" s="51"/>
      <c r="CK477" s="51"/>
      <c r="CL477" s="51"/>
      <c r="CM477" s="51"/>
      <c r="CN477" s="51"/>
      <c r="CO477" s="51"/>
      <c r="CP477" s="51"/>
      <c r="CQ477" s="51"/>
      <c r="CR477" s="51"/>
      <c r="CS477" s="51"/>
      <c r="CT477" s="51"/>
      <c r="CU477" s="1"/>
      <c r="CV477" s="1"/>
      <c r="CW477" s="1"/>
      <c r="CX477" s="1"/>
      <c r="CY477" s="1"/>
      <c r="CZ477" s="1"/>
    </row>
    <row r="478" spans="1:104" ht="14.25" customHeight="1">
      <c r="A478" s="1"/>
      <c r="B478" s="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H478" s="51"/>
      <c r="CI478" s="51"/>
      <c r="CJ478" s="51"/>
      <c r="CK478" s="51"/>
      <c r="CL478" s="51"/>
      <c r="CM478" s="51"/>
      <c r="CN478" s="51"/>
      <c r="CO478" s="51"/>
      <c r="CP478" s="51"/>
      <c r="CQ478" s="51"/>
      <c r="CR478" s="51"/>
      <c r="CS478" s="51"/>
      <c r="CT478" s="51"/>
      <c r="CU478" s="1"/>
      <c r="CV478" s="1"/>
      <c r="CW478" s="1"/>
      <c r="CX478" s="1"/>
      <c r="CY478" s="1"/>
      <c r="CZ478" s="1"/>
    </row>
    <row r="479" spans="1:104" ht="14.25" customHeight="1">
      <c r="A479" s="1"/>
      <c r="B479" s="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  <c r="CO479" s="51"/>
      <c r="CP479" s="51"/>
      <c r="CQ479" s="51"/>
      <c r="CR479" s="51"/>
      <c r="CS479" s="51"/>
      <c r="CT479" s="51"/>
      <c r="CU479" s="1"/>
      <c r="CV479" s="1"/>
      <c r="CW479" s="1"/>
      <c r="CX479" s="1"/>
      <c r="CY479" s="1"/>
      <c r="CZ479" s="1"/>
    </row>
    <row r="480" spans="1:104" ht="14.25" customHeight="1">
      <c r="A480" s="1"/>
      <c r="B480" s="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  <c r="CC480" s="51"/>
      <c r="CD480" s="51"/>
      <c r="CE480" s="51"/>
      <c r="CF480" s="51"/>
      <c r="CG480" s="51"/>
      <c r="CH480" s="51"/>
      <c r="CI480" s="51"/>
      <c r="CJ480" s="51"/>
      <c r="CK480" s="51"/>
      <c r="CL480" s="51"/>
      <c r="CM480" s="51"/>
      <c r="CN480" s="51"/>
      <c r="CO480" s="51"/>
      <c r="CP480" s="51"/>
      <c r="CQ480" s="51"/>
      <c r="CR480" s="51"/>
      <c r="CS480" s="51"/>
      <c r="CT480" s="51"/>
      <c r="CU480" s="1"/>
      <c r="CV480" s="1"/>
      <c r="CW480" s="1"/>
      <c r="CX480" s="1"/>
      <c r="CY480" s="1"/>
      <c r="CZ480" s="1"/>
    </row>
    <row r="481" spans="1:104" ht="14.25" customHeight="1">
      <c r="A481" s="1"/>
      <c r="B481" s="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1"/>
      <c r="CI481" s="51"/>
      <c r="CJ481" s="51"/>
      <c r="CK481" s="51"/>
      <c r="CL481" s="51"/>
      <c r="CM481" s="51"/>
      <c r="CN481" s="51"/>
      <c r="CO481" s="51"/>
      <c r="CP481" s="51"/>
      <c r="CQ481" s="51"/>
      <c r="CR481" s="51"/>
      <c r="CS481" s="51"/>
      <c r="CT481" s="51"/>
      <c r="CU481" s="1"/>
      <c r="CV481" s="1"/>
      <c r="CW481" s="1"/>
      <c r="CX481" s="1"/>
      <c r="CY481" s="1"/>
      <c r="CZ481" s="1"/>
    </row>
    <row r="482" spans="1:104" ht="14.25" customHeight="1">
      <c r="A482" s="1"/>
      <c r="B482" s="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  <c r="CO482" s="51"/>
      <c r="CP482" s="51"/>
      <c r="CQ482" s="51"/>
      <c r="CR482" s="51"/>
      <c r="CS482" s="51"/>
      <c r="CT482" s="51"/>
      <c r="CU482" s="1"/>
      <c r="CV482" s="1"/>
      <c r="CW482" s="1"/>
      <c r="CX482" s="1"/>
      <c r="CY482" s="1"/>
      <c r="CZ482" s="1"/>
    </row>
    <row r="483" spans="1:104" ht="14.25" customHeight="1">
      <c r="A483" s="1"/>
      <c r="B483" s="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H483" s="51"/>
      <c r="CI483" s="51"/>
      <c r="CJ483" s="51"/>
      <c r="CK483" s="51"/>
      <c r="CL483" s="51"/>
      <c r="CM483" s="51"/>
      <c r="CN483" s="51"/>
      <c r="CO483" s="51"/>
      <c r="CP483" s="51"/>
      <c r="CQ483" s="51"/>
      <c r="CR483" s="51"/>
      <c r="CS483" s="51"/>
      <c r="CT483" s="51"/>
      <c r="CU483" s="1"/>
      <c r="CV483" s="1"/>
      <c r="CW483" s="1"/>
      <c r="CX483" s="1"/>
      <c r="CY483" s="1"/>
      <c r="CZ483" s="1"/>
    </row>
    <row r="484" spans="1:104" ht="14.25" customHeight="1">
      <c r="A484" s="1"/>
      <c r="B484" s="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H484" s="51"/>
      <c r="CI484" s="51"/>
      <c r="CJ484" s="51"/>
      <c r="CK484" s="51"/>
      <c r="CL484" s="51"/>
      <c r="CM484" s="51"/>
      <c r="CN484" s="51"/>
      <c r="CO484" s="51"/>
      <c r="CP484" s="51"/>
      <c r="CQ484" s="51"/>
      <c r="CR484" s="51"/>
      <c r="CS484" s="51"/>
      <c r="CT484" s="51"/>
      <c r="CU484" s="1"/>
      <c r="CV484" s="1"/>
      <c r="CW484" s="1"/>
      <c r="CX484" s="1"/>
      <c r="CY484" s="1"/>
      <c r="CZ484" s="1"/>
    </row>
    <row r="485" spans="1:104" ht="14.25" customHeight="1">
      <c r="A485" s="1"/>
      <c r="B485" s="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51"/>
      <c r="CQ485" s="51"/>
      <c r="CR485" s="51"/>
      <c r="CS485" s="51"/>
      <c r="CT485" s="51"/>
      <c r="CU485" s="1"/>
      <c r="CV485" s="1"/>
      <c r="CW485" s="1"/>
      <c r="CX485" s="1"/>
      <c r="CY485" s="1"/>
      <c r="CZ485" s="1"/>
    </row>
    <row r="486" spans="1:104" ht="14.25" customHeight="1">
      <c r="A486" s="1"/>
      <c r="B486" s="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  <c r="CE486" s="51"/>
      <c r="CF486" s="51"/>
      <c r="CG486" s="51"/>
      <c r="CH486" s="51"/>
      <c r="CI486" s="51"/>
      <c r="CJ486" s="51"/>
      <c r="CK486" s="51"/>
      <c r="CL486" s="51"/>
      <c r="CM486" s="51"/>
      <c r="CN486" s="51"/>
      <c r="CO486" s="51"/>
      <c r="CP486" s="51"/>
      <c r="CQ486" s="51"/>
      <c r="CR486" s="51"/>
      <c r="CS486" s="51"/>
      <c r="CT486" s="51"/>
      <c r="CU486" s="1"/>
      <c r="CV486" s="1"/>
      <c r="CW486" s="1"/>
      <c r="CX486" s="1"/>
      <c r="CY486" s="1"/>
      <c r="CZ486" s="1"/>
    </row>
    <row r="487" spans="1:104" ht="14.25" customHeight="1">
      <c r="A487" s="1"/>
      <c r="B487" s="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1"/>
      <c r="CV487" s="1"/>
      <c r="CW487" s="1"/>
      <c r="CX487" s="1"/>
      <c r="CY487" s="1"/>
      <c r="CZ487" s="1"/>
    </row>
    <row r="488" spans="1:104" ht="14.25" customHeight="1">
      <c r="A488" s="1"/>
      <c r="B488" s="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51"/>
      <c r="CQ488" s="51"/>
      <c r="CR488" s="51"/>
      <c r="CS488" s="51"/>
      <c r="CT488" s="51"/>
      <c r="CU488" s="1"/>
      <c r="CV488" s="1"/>
      <c r="CW488" s="1"/>
      <c r="CX488" s="1"/>
      <c r="CY488" s="1"/>
      <c r="CZ488" s="1"/>
    </row>
    <row r="489" spans="1:104" ht="14.25" customHeight="1">
      <c r="A489" s="1"/>
      <c r="B489" s="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1"/>
      <c r="CV489" s="1"/>
      <c r="CW489" s="1"/>
      <c r="CX489" s="1"/>
      <c r="CY489" s="1"/>
      <c r="CZ489" s="1"/>
    </row>
    <row r="490" spans="1:104" ht="14.25" customHeight="1">
      <c r="A490" s="1"/>
      <c r="B490" s="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1"/>
      <c r="CV490" s="1"/>
      <c r="CW490" s="1"/>
      <c r="CX490" s="1"/>
      <c r="CY490" s="1"/>
      <c r="CZ490" s="1"/>
    </row>
    <row r="491" spans="1:104" ht="14.25" customHeight="1">
      <c r="A491" s="1"/>
      <c r="B491" s="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1"/>
      <c r="CI491" s="51"/>
      <c r="CJ491" s="51"/>
      <c r="CK491" s="51"/>
      <c r="CL491" s="51"/>
      <c r="CM491" s="51"/>
      <c r="CN491" s="51"/>
      <c r="CO491" s="51"/>
      <c r="CP491" s="51"/>
      <c r="CQ491" s="51"/>
      <c r="CR491" s="51"/>
      <c r="CS491" s="51"/>
      <c r="CT491" s="51"/>
      <c r="CU491" s="1"/>
      <c r="CV491" s="1"/>
      <c r="CW491" s="1"/>
      <c r="CX491" s="1"/>
      <c r="CY491" s="1"/>
      <c r="CZ491" s="1"/>
    </row>
    <row r="492" spans="1:104" ht="14.25" customHeight="1">
      <c r="A492" s="1"/>
      <c r="B492" s="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51"/>
      <c r="CQ492" s="51"/>
      <c r="CR492" s="51"/>
      <c r="CS492" s="51"/>
      <c r="CT492" s="51"/>
      <c r="CU492" s="1"/>
      <c r="CV492" s="1"/>
      <c r="CW492" s="1"/>
      <c r="CX492" s="1"/>
      <c r="CY492" s="1"/>
      <c r="CZ492" s="1"/>
    </row>
    <row r="493" spans="1:104" ht="14.25" customHeight="1">
      <c r="A493" s="1"/>
      <c r="B493" s="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1"/>
      <c r="CV493" s="1"/>
      <c r="CW493" s="1"/>
      <c r="CX493" s="1"/>
      <c r="CY493" s="1"/>
      <c r="CZ493" s="1"/>
    </row>
    <row r="494" spans="1:104" ht="14.25" customHeight="1">
      <c r="A494" s="1"/>
      <c r="B494" s="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1"/>
      <c r="CV494" s="1"/>
      <c r="CW494" s="1"/>
      <c r="CX494" s="1"/>
      <c r="CY494" s="1"/>
      <c r="CZ494" s="1"/>
    </row>
    <row r="495" spans="1:104" ht="14.25" customHeight="1">
      <c r="A495" s="1"/>
      <c r="B495" s="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1"/>
      <c r="CV495" s="1"/>
      <c r="CW495" s="1"/>
      <c r="CX495" s="1"/>
      <c r="CY495" s="1"/>
      <c r="CZ495" s="1"/>
    </row>
    <row r="496" spans="1:104" ht="14.25" customHeight="1">
      <c r="A496" s="1"/>
      <c r="B496" s="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1"/>
      <c r="CV496" s="1"/>
      <c r="CW496" s="1"/>
      <c r="CX496" s="1"/>
      <c r="CY496" s="1"/>
      <c r="CZ496" s="1"/>
    </row>
    <row r="497" spans="1:104" ht="14.25" customHeight="1">
      <c r="A497" s="1"/>
      <c r="B497" s="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  <c r="CO497" s="51"/>
      <c r="CP497" s="51"/>
      <c r="CQ497" s="51"/>
      <c r="CR497" s="51"/>
      <c r="CS497" s="51"/>
      <c r="CT497" s="51"/>
      <c r="CU497" s="1"/>
      <c r="CV497" s="1"/>
      <c r="CW497" s="1"/>
      <c r="CX497" s="1"/>
      <c r="CY497" s="1"/>
      <c r="CZ497" s="1"/>
    </row>
    <row r="498" spans="1:104" ht="14.25" customHeight="1">
      <c r="A498" s="1"/>
      <c r="B498" s="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  <c r="CE498" s="51"/>
      <c r="CF498" s="51"/>
      <c r="CG498" s="51"/>
      <c r="CH498" s="51"/>
      <c r="CI498" s="51"/>
      <c r="CJ498" s="51"/>
      <c r="CK498" s="51"/>
      <c r="CL498" s="51"/>
      <c r="CM498" s="51"/>
      <c r="CN498" s="51"/>
      <c r="CO498" s="51"/>
      <c r="CP498" s="51"/>
      <c r="CQ498" s="51"/>
      <c r="CR498" s="51"/>
      <c r="CS498" s="51"/>
      <c r="CT498" s="51"/>
      <c r="CU498" s="1"/>
      <c r="CV498" s="1"/>
      <c r="CW498" s="1"/>
      <c r="CX498" s="1"/>
      <c r="CY498" s="1"/>
      <c r="CZ498" s="1"/>
    </row>
    <row r="499" spans="1:104" ht="14.25" customHeight="1">
      <c r="A499" s="1"/>
      <c r="B499" s="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  <c r="CE499" s="51"/>
      <c r="CF499" s="51"/>
      <c r="CG499" s="51"/>
      <c r="CH499" s="51"/>
      <c r="CI499" s="51"/>
      <c r="CJ499" s="51"/>
      <c r="CK499" s="51"/>
      <c r="CL499" s="51"/>
      <c r="CM499" s="51"/>
      <c r="CN499" s="51"/>
      <c r="CO499" s="51"/>
      <c r="CP499" s="51"/>
      <c r="CQ499" s="51"/>
      <c r="CR499" s="51"/>
      <c r="CS499" s="51"/>
      <c r="CT499" s="51"/>
      <c r="CU499" s="1"/>
      <c r="CV499" s="1"/>
      <c r="CW499" s="1"/>
      <c r="CX499" s="1"/>
      <c r="CY499" s="1"/>
      <c r="CZ499" s="1"/>
    </row>
    <row r="500" spans="1:104" ht="14.25" customHeight="1">
      <c r="A500" s="1"/>
      <c r="B500" s="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  <c r="CE500" s="51"/>
      <c r="CF500" s="51"/>
      <c r="CG500" s="51"/>
      <c r="CH500" s="51"/>
      <c r="CI500" s="51"/>
      <c r="CJ500" s="51"/>
      <c r="CK500" s="51"/>
      <c r="CL500" s="51"/>
      <c r="CM500" s="51"/>
      <c r="CN500" s="51"/>
      <c r="CO500" s="51"/>
      <c r="CP500" s="51"/>
      <c r="CQ500" s="51"/>
      <c r="CR500" s="51"/>
      <c r="CS500" s="51"/>
      <c r="CT500" s="51"/>
      <c r="CU500" s="1"/>
      <c r="CV500" s="1"/>
      <c r="CW500" s="1"/>
      <c r="CX500" s="1"/>
      <c r="CY500" s="1"/>
      <c r="CZ500" s="1"/>
    </row>
    <row r="501" spans="1:104" ht="14.25" customHeight="1">
      <c r="A501" s="1"/>
      <c r="B501" s="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  <c r="CQ501" s="51"/>
      <c r="CR501" s="51"/>
      <c r="CS501" s="51"/>
      <c r="CT501" s="51"/>
      <c r="CU501" s="1"/>
      <c r="CV501" s="1"/>
      <c r="CW501" s="1"/>
      <c r="CX501" s="1"/>
      <c r="CY501" s="1"/>
      <c r="CZ501" s="1"/>
    </row>
    <row r="502" spans="1:104" ht="14.25" customHeight="1">
      <c r="A502" s="1"/>
      <c r="B502" s="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  <c r="CE502" s="51"/>
      <c r="CF502" s="51"/>
      <c r="CG502" s="51"/>
      <c r="CH502" s="51"/>
      <c r="CI502" s="51"/>
      <c r="CJ502" s="51"/>
      <c r="CK502" s="51"/>
      <c r="CL502" s="51"/>
      <c r="CM502" s="51"/>
      <c r="CN502" s="51"/>
      <c r="CO502" s="51"/>
      <c r="CP502" s="51"/>
      <c r="CQ502" s="51"/>
      <c r="CR502" s="51"/>
      <c r="CS502" s="51"/>
      <c r="CT502" s="51"/>
      <c r="CU502" s="1"/>
      <c r="CV502" s="1"/>
      <c r="CW502" s="1"/>
      <c r="CX502" s="1"/>
      <c r="CY502" s="1"/>
      <c r="CZ502" s="1"/>
    </row>
    <row r="503" spans="1:104" ht="14.25" customHeight="1">
      <c r="A503" s="1"/>
      <c r="B503" s="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  <c r="CO503" s="51"/>
      <c r="CP503" s="51"/>
      <c r="CQ503" s="51"/>
      <c r="CR503" s="51"/>
      <c r="CS503" s="51"/>
      <c r="CT503" s="51"/>
      <c r="CU503" s="1"/>
      <c r="CV503" s="1"/>
      <c r="CW503" s="1"/>
      <c r="CX503" s="1"/>
      <c r="CY503" s="1"/>
      <c r="CZ503" s="1"/>
    </row>
    <row r="504" spans="1:104" ht="14.25" customHeight="1">
      <c r="A504" s="1"/>
      <c r="B504" s="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1"/>
      <c r="CV504" s="1"/>
      <c r="CW504" s="1"/>
      <c r="CX504" s="1"/>
      <c r="CY504" s="1"/>
      <c r="CZ504" s="1"/>
    </row>
    <row r="505" spans="1:104" ht="14.25" customHeight="1">
      <c r="A505" s="1"/>
      <c r="B505" s="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1"/>
      <c r="CV505" s="1"/>
      <c r="CW505" s="1"/>
      <c r="CX505" s="1"/>
      <c r="CY505" s="1"/>
      <c r="CZ505" s="1"/>
    </row>
    <row r="506" spans="1:104" ht="14.25" customHeight="1">
      <c r="A506" s="1"/>
      <c r="B506" s="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1"/>
      <c r="CV506" s="1"/>
      <c r="CW506" s="1"/>
      <c r="CX506" s="1"/>
      <c r="CY506" s="1"/>
      <c r="CZ506" s="1"/>
    </row>
    <row r="507" spans="1:104" ht="14.25" customHeight="1">
      <c r="A507" s="1"/>
      <c r="B507" s="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1"/>
      <c r="CV507" s="1"/>
      <c r="CW507" s="1"/>
      <c r="CX507" s="1"/>
      <c r="CY507" s="1"/>
      <c r="CZ507" s="1"/>
    </row>
    <row r="508" spans="1:104" ht="14.25" customHeight="1">
      <c r="A508" s="1"/>
      <c r="B508" s="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1"/>
      <c r="CI508" s="51"/>
      <c r="CJ508" s="51"/>
      <c r="CK508" s="51"/>
      <c r="CL508" s="51"/>
      <c r="CM508" s="51"/>
      <c r="CN508" s="51"/>
      <c r="CO508" s="51"/>
      <c r="CP508" s="51"/>
      <c r="CQ508" s="51"/>
      <c r="CR508" s="51"/>
      <c r="CS508" s="51"/>
      <c r="CT508" s="51"/>
      <c r="CU508" s="1"/>
      <c r="CV508" s="1"/>
      <c r="CW508" s="1"/>
      <c r="CX508" s="1"/>
      <c r="CY508" s="1"/>
      <c r="CZ508" s="1"/>
    </row>
    <row r="509" spans="1:104" ht="14.25" customHeight="1">
      <c r="A509" s="1"/>
      <c r="B509" s="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  <c r="CE509" s="51"/>
      <c r="CF509" s="51"/>
      <c r="CG509" s="51"/>
      <c r="CH509" s="51"/>
      <c r="CI509" s="51"/>
      <c r="CJ509" s="51"/>
      <c r="CK509" s="51"/>
      <c r="CL509" s="51"/>
      <c r="CM509" s="51"/>
      <c r="CN509" s="51"/>
      <c r="CO509" s="51"/>
      <c r="CP509" s="51"/>
      <c r="CQ509" s="51"/>
      <c r="CR509" s="51"/>
      <c r="CS509" s="51"/>
      <c r="CT509" s="51"/>
      <c r="CU509" s="1"/>
      <c r="CV509" s="1"/>
      <c r="CW509" s="1"/>
      <c r="CX509" s="1"/>
      <c r="CY509" s="1"/>
      <c r="CZ509" s="1"/>
    </row>
    <row r="510" spans="1:104" ht="14.25" customHeight="1">
      <c r="A510" s="1"/>
      <c r="B510" s="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1"/>
      <c r="CV510" s="1"/>
      <c r="CW510" s="1"/>
      <c r="CX510" s="1"/>
      <c r="CY510" s="1"/>
      <c r="CZ510" s="1"/>
    </row>
    <row r="511" spans="1:104" ht="14.25" customHeight="1">
      <c r="A511" s="1"/>
      <c r="B511" s="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1"/>
      <c r="CV511" s="1"/>
      <c r="CW511" s="1"/>
      <c r="CX511" s="1"/>
      <c r="CY511" s="1"/>
      <c r="CZ511" s="1"/>
    </row>
    <row r="512" spans="1:104" ht="14.25" customHeight="1">
      <c r="A512" s="1"/>
      <c r="B512" s="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1"/>
      <c r="CV512" s="1"/>
      <c r="CW512" s="1"/>
      <c r="CX512" s="1"/>
      <c r="CY512" s="1"/>
      <c r="CZ512" s="1"/>
    </row>
    <row r="513" spans="1:104" ht="14.25" customHeight="1">
      <c r="A513" s="1"/>
      <c r="B513" s="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H513" s="51"/>
      <c r="CI513" s="51"/>
      <c r="CJ513" s="51"/>
      <c r="CK513" s="51"/>
      <c r="CL513" s="51"/>
      <c r="CM513" s="51"/>
      <c r="CN513" s="51"/>
      <c r="CO513" s="51"/>
      <c r="CP513" s="51"/>
      <c r="CQ513" s="51"/>
      <c r="CR513" s="51"/>
      <c r="CS513" s="51"/>
      <c r="CT513" s="51"/>
      <c r="CU513" s="1"/>
      <c r="CV513" s="1"/>
      <c r="CW513" s="1"/>
      <c r="CX513" s="1"/>
      <c r="CY513" s="1"/>
      <c r="CZ513" s="1"/>
    </row>
    <row r="514" spans="1:104" ht="14.25" customHeight="1">
      <c r="A514" s="1"/>
      <c r="B514" s="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  <c r="CE514" s="51"/>
      <c r="CF514" s="51"/>
      <c r="CG514" s="51"/>
      <c r="CH514" s="51"/>
      <c r="CI514" s="51"/>
      <c r="CJ514" s="51"/>
      <c r="CK514" s="51"/>
      <c r="CL514" s="51"/>
      <c r="CM514" s="51"/>
      <c r="CN514" s="51"/>
      <c r="CO514" s="51"/>
      <c r="CP514" s="51"/>
      <c r="CQ514" s="51"/>
      <c r="CR514" s="51"/>
      <c r="CS514" s="51"/>
      <c r="CT514" s="51"/>
      <c r="CU514" s="1"/>
      <c r="CV514" s="1"/>
      <c r="CW514" s="1"/>
      <c r="CX514" s="1"/>
      <c r="CY514" s="1"/>
      <c r="CZ514" s="1"/>
    </row>
    <row r="515" spans="1:104" ht="14.25" customHeight="1">
      <c r="A515" s="1"/>
      <c r="B515" s="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  <c r="CO515" s="51"/>
      <c r="CP515" s="51"/>
      <c r="CQ515" s="51"/>
      <c r="CR515" s="51"/>
      <c r="CS515" s="51"/>
      <c r="CT515" s="51"/>
      <c r="CU515" s="1"/>
      <c r="CV515" s="1"/>
      <c r="CW515" s="1"/>
      <c r="CX515" s="1"/>
      <c r="CY515" s="1"/>
      <c r="CZ515" s="1"/>
    </row>
    <row r="516" spans="1:104" ht="14.25" customHeight="1">
      <c r="A516" s="1"/>
      <c r="B516" s="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1"/>
      <c r="CV516" s="1"/>
      <c r="CW516" s="1"/>
      <c r="CX516" s="1"/>
      <c r="CY516" s="1"/>
      <c r="CZ516" s="1"/>
    </row>
    <row r="517" spans="1:104" ht="14.25" customHeight="1">
      <c r="A517" s="1"/>
      <c r="B517" s="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1"/>
      <c r="CV517" s="1"/>
      <c r="CW517" s="1"/>
      <c r="CX517" s="1"/>
      <c r="CY517" s="1"/>
      <c r="CZ517" s="1"/>
    </row>
    <row r="518" spans="1:104" ht="14.25" customHeight="1">
      <c r="A518" s="1"/>
      <c r="B518" s="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  <c r="CO518" s="51"/>
      <c r="CP518" s="51"/>
      <c r="CQ518" s="51"/>
      <c r="CR518" s="51"/>
      <c r="CS518" s="51"/>
      <c r="CT518" s="51"/>
      <c r="CU518" s="1"/>
      <c r="CV518" s="1"/>
      <c r="CW518" s="1"/>
      <c r="CX518" s="1"/>
      <c r="CY518" s="1"/>
      <c r="CZ518" s="1"/>
    </row>
    <row r="519" spans="1:104" ht="14.25" customHeight="1">
      <c r="A519" s="1"/>
      <c r="B519" s="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51"/>
      <c r="CQ519" s="51"/>
      <c r="CR519" s="51"/>
      <c r="CS519" s="51"/>
      <c r="CT519" s="51"/>
      <c r="CU519" s="1"/>
      <c r="CV519" s="1"/>
      <c r="CW519" s="1"/>
      <c r="CX519" s="1"/>
      <c r="CY519" s="1"/>
      <c r="CZ519" s="1"/>
    </row>
    <row r="520" spans="1:104" ht="14.25" customHeight="1">
      <c r="A520" s="1"/>
      <c r="B520" s="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  <c r="CC520" s="51"/>
      <c r="CD520" s="51"/>
      <c r="CE520" s="51"/>
      <c r="CF520" s="51"/>
      <c r="CG520" s="51"/>
      <c r="CH520" s="51"/>
      <c r="CI520" s="51"/>
      <c r="CJ520" s="51"/>
      <c r="CK520" s="51"/>
      <c r="CL520" s="51"/>
      <c r="CM520" s="51"/>
      <c r="CN520" s="51"/>
      <c r="CO520" s="51"/>
      <c r="CP520" s="51"/>
      <c r="CQ520" s="51"/>
      <c r="CR520" s="51"/>
      <c r="CS520" s="51"/>
      <c r="CT520" s="51"/>
      <c r="CU520" s="1"/>
      <c r="CV520" s="1"/>
      <c r="CW520" s="1"/>
      <c r="CX520" s="1"/>
      <c r="CY520" s="1"/>
      <c r="CZ520" s="1"/>
    </row>
    <row r="521" spans="1:104" ht="14.25" customHeight="1">
      <c r="A521" s="1"/>
      <c r="B521" s="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  <c r="CO521" s="51"/>
      <c r="CP521" s="51"/>
      <c r="CQ521" s="51"/>
      <c r="CR521" s="51"/>
      <c r="CS521" s="51"/>
      <c r="CT521" s="51"/>
      <c r="CU521" s="1"/>
      <c r="CV521" s="1"/>
      <c r="CW521" s="1"/>
      <c r="CX521" s="1"/>
      <c r="CY521" s="1"/>
      <c r="CZ521" s="1"/>
    </row>
    <row r="522" spans="1:104" ht="14.25" customHeight="1">
      <c r="A522" s="1"/>
      <c r="B522" s="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1"/>
      <c r="CV522" s="1"/>
      <c r="CW522" s="1"/>
      <c r="CX522" s="1"/>
      <c r="CY522" s="1"/>
      <c r="CZ522" s="1"/>
    </row>
    <row r="523" spans="1:104" ht="14.25" customHeight="1">
      <c r="A523" s="1"/>
      <c r="B523" s="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1"/>
      <c r="CV523" s="1"/>
      <c r="CW523" s="1"/>
      <c r="CX523" s="1"/>
      <c r="CY523" s="1"/>
      <c r="CZ523" s="1"/>
    </row>
    <row r="524" spans="1:104" ht="14.25" customHeight="1">
      <c r="A524" s="1"/>
      <c r="B524" s="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1"/>
      <c r="CV524" s="1"/>
      <c r="CW524" s="1"/>
      <c r="CX524" s="1"/>
      <c r="CY524" s="1"/>
      <c r="CZ524" s="1"/>
    </row>
    <row r="525" spans="1:104" ht="14.25" customHeight="1">
      <c r="A525" s="1"/>
      <c r="B525" s="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1"/>
      <c r="CV525" s="1"/>
      <c r="CW525" s="1"/>
      <c r="CX525" s="1"/>
      <c r="CY525" s="1"/>
      <c r="CZ525" s="1"/>
    </row>
    <row r="526" spans="1:104" ht="14.25" customHeight="1">
      <c r="A526" s="1"/>
      <c r="B526" s="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  <c r="CC526" s="51"/>
      <c r="CD526" s="51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51"/>
      <c r="CQ526" s="51"/>
      <c r="CR526" s="51"/>
      <c r="CS526" s="51"/>
      <c r="CT526" s="51"/>
      <c r="CU526" s="1"/>
      <c r="CV526" s="1"/>
      <c r="CW526" s="1"/>
      <c r="CX526" s="1"/>
      <c r="CY526" s="1"/>
      <c r="CZ526" s="1"/>
    </row>
    <row r="527" spans="1:104" ht="14.25" customHeight="1">
      <c r="A527" s="1"/>
      <c r="B527" s="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  <c r="CC527" s="51"/>
      <c r="CD527" s="51"/>
      <c r="CE527" s="51"/>
      <c r="CF527" s="51"/>
      <c r="CG527" s="51"/>
      <c r="CH527" s="51"/>
      <c r="CI527" s="51"/>
      <c r="CJ527" s="51"/>
      <c r="CK527" s="51"/>
      <c r="CL527" s="51"/>
      <c r="CM527" s="51"/>
      <c r="CN527" s="51"/>
      <c r="CO527" s="51"/>
      <c r="CP527" s="51"/>
      <c r="CQ527" s="51"/>
      <c r="CR527" s="51"/>
      <c r="CS527" s="51"/>
      <c r="CT527" s="51"/>
      <c r="CU527" s="1"/>
      <c r="CV527" s="1"/>
      <c r="CW527" s="1"/>
      <c r="CX527" s="1"/>
      <c r="CY527" s="1"/>
      <c r="CZ527" s="1"/>
    </row>
    <row r="528" spans="1:104" ht="14.25" customHeight="1">
      <c r="A528" s="1"/>
      <c r="B528" s="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  <c r="CC528" s="51"/>
      <c r="CD528" s="51"/>
      <c r="CE528" s="51"/>
      <c r="CF528" s="51"/>
      <c r="CG528" s="51"/>
      <c r="CH528" s="51"/>
      <c r="CI528" s="51"/>
      <c r="CJ528" s="51"/>
      <c r="CK528" s="51"/>
      <c r="CL528" s="51"/>
      <c r="CM528" s="51"/>
      <c r="CN528" s="51"/>
      <c r="CO528" s="51"/>
      <c r="CP528" s="51"/>
      <c r="CQ528" s="51"/>
      <c r="CR528" s="51"/>
      <c r="CS528" s="51"/>
      <c r="CT528" s="51"/>
      <c r="CU528" s="1"/>
      <c r="CV528" s="1"/>
      <c r="CW528" s="1"/>
      <c r="CX528" s="1"/>
      <c r="CY528" s="1"/>
      <c r="CZ528" s="1"/>
    </row>
    <row r="529" spans="1:104" ht="14.25" customHeight="1">
      <c r="A529" s="1"/>
      <c r="B529" s="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  <c r="CC529" s="51"/>
      <c r="CD529" s="51"/>
      <c r="CE529" s="51"/>
      <c r="CF529" s="51"/>
      <c r="CG529" s="51"/>
      <c r="CH529" s="51"/>
      <c r="CI529" s="51"/>
      <c r="CJ529" s="51"/>
      <c r="CK529" s="51"/>
      <c r="CL529" s="51"/>
      <c r="CM529" s="51"/>
      <c r="CN529" s="51"/>
      <c r="CO529" s="51"/>
      <c r="CP529" s="51"/>
      <c r="CQ529" s="51"/>
      <c r="CR529" s="51"/>
      <c r="CS529" s="51"/>
      <c r="CT529" s="51"/>
      <c r="CU529" s="1"/>
      <c r="CV529" s="1"/>
      <c r="CW529" s="1"/>
      <c r="CX529" s="1"/>
      <c r="CY529" s="1"/>
      <c r="CZ529" s="1"/>
    </row>
    <row r="530" spans="1:104" ht="14.25" customHeight="1">
      <c r="A530" s="1"/>
      <c r="B530" s="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  <c r="CO530" s="51"/>
      <c r="CP530" s="51"/>
      <c r="CQ530" s="51"/>
      <c r="CR530" s="51"/>
      <c r="CS530" s="51"/>
      <c r="CT530" s="51"/>
      <c r="CU530" s="1"/>
      <c r="CV530" s="1"/>
      <c r="CW530" s="1"/>
      <c r="CX530" s="1"/>
      <c r="CY530" s="1"/>
      <c r="CZ530" s="1"/>
    </row>
    <row r="531" spans="1:104" ht="14.25" customHeight="1">
      <c r="A531" s="1"/>
      <c r="B531" s="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  <c r="CC531" s="51"/>
      <c r="CD531" s="51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51"/>
      <c r="CQ531" s="51"/>
      <c r="CR531" s="51"/>
      <c r="CS531" s="51"/>
      <c r="CT531" s="51"/>
      <c r="CU531" s="1"/>
      <c r="CV531" s="1"/>
      <c r="CW531" s="1"/>
      <c r="CX531" s="1"/>
      <c r="CY531" s="1"/>
      <c r="CZ531" s="1"/>
    </row>
    <row r="532" spans="1:104" ht="14.25" customHeight="1">
      <c r="A532" s="1"/>
      <c r="B532" s="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  <c r="CC532" s="51"/>
      <c r="CD532" s="51"/>
      <c r="CE532" s="51"/>
      <c r="CF532" s="51"/>
      <c r="CG532" s="51"/>
      <c r="CH532" s="51"/>
      <c r="CI532" s="51"/>
      <c r="CJ532" s="51"/>
      <c r="CK532" s="51"/>
      <c r="CL532" s="51"/>
      <c r="CM532" s="51"/>
      <c r="CN532" s="51"/>
      <c r="CO532" s="51"/>
      <c r="CP532" s="51"/>
      <c r="CQ532" s="51"/>
      <c r="CR532" s="51"/>
      <c r="CS532" s="51"/>
      <c r="CT532" s="51"/>
      <c r="CU532" s="1"/>
      <c r="CV532" s="1"/>
      <c r="CW532" s="1"/>
      <c r="CX532" s="1"/>
      <c r="CY532" s="1"/>
      <c r="CZ532" s="1"/>
    </row>
    <row r="533" spans="1:104" ht="14.25" customHeight="1">
      <c r="A533" s="1"/>
      <c r="B533" s="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  <c r="CO533" s="51"/>
      <c r="CP533" s="51"/>
      <c r="CQ533" s="51"/>
      <c r="CR533" s="51"/>
      <c r="CS533" s="51"/>
      <c r="CT533" s="51"/>
      <c r="CU533" s="1"/>
      <c r="CV533" s="1"/>
      <c r="CW533" s="1"/>
      <c r="CX533" s="1"/>
      <c r="CY533" s="1"/>
      <c r="CZ533" s="1"/>
    </row>
    <row r="534" spans="1:104" ht="14.25" customHeight="1">
      <c r="A534" s="1"/>
      <c r="B534" s="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  <c r="CQ534" s="51"/>
      <c r="CR534" s="51"/>
      <c r="CS534" s="51"/>
      <c r="CT534" s="51"/>
      <c r="CU534" s="1"/>
      <c r="CV534" s="1"/>
      <c r="CW534" s="1"/>
      <c r="CX534" s="1"/>
      <c r="CY534" s="1"/>
      <c r="CZ534" s="1"/>
    </row>
    <row r="535" spans="1:104" ht="14.25" customHeight="1">
      <c r="A535" s="1"/>
      <c r="B535" s="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  <c r="CC535" s="51"/>
      <c r="CD535" s="51"/>
      <c r="CE535" s="51"/>
      <c r="CF535" s="51"/>
      <c r="CG535" s="51"/>
      <c r="CH535" s="51"/>
      <c r="CI535" s="51"/>
      <c r="CJ535" s="51"/>
      <c r="CK535" s="51"/>
      <c r="CL535" s="51"/>
      <c r="CM535" s="51"/>
      <c r="CN535" s="51"/>
      <c r="CO535" s="51"/>
      <c r="CP535" s="51"/>
      <c r="CQ535" s="51"/>
      <c r="CR535" s="51"/>
      <c r="CS535" s="51"/>
      <c r="CT535" s="51"/>
      <c r="CU535" s="1"/>
      <c r="CV535" s="1"/>
      <c r="CW535" s="1"/>
      <c r="CX535" s="1"/>
      <c r="CY535" s="1"/>
      <c r="CZ535" s="1"/>
    </row>
    <row r="536" spans="1:104" ht="14.25" customHeight="1">
      <c r="A536" s="1"/>
      <c r="B536" s="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  <c r="CC536" s="51"/>
      <c r="CD536" s="51"/>
      <c r="CE536" s="51"/>
      <c r="CF536" s="51"/>
      <c r="CG536" s="51"/>
      <c r="CH536" s="51"/>
      <c r="CI536" s="51"/>
      <c r="CJ536" s="51"/>
      <c r="CK536" s="51"/>
      <c r="CL536" s="51"/>
      <c r="CM536" s="51"/>
      <c r="CN536" s="51"/>
      <c r="CO536" s="51"/>
      <c r="CP536" s="51"/>
      <c r="CQ536" s="51"/>
      <c r="CR536" s="51"/>
      <c r="CS536" s="51"/>
      <c r="CT536" s="51"/>
      <c r="CU536" s="1"/>
      <c r="CV536" s="1"/>
      <c r="CW536" s="1"/>
      <c r="CX536" s="1"/>
      <c r="CY536" s="1"/>
      <c r="CZ536" s="1"/>
    </row>
    <row r="537" spans="1:104" ht="14.25" customHeight="1">
      <c r="A537" s="1"/>
      <c r="B537" s="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  <c r="CC537" s="51"/>
      <c r="CD537" s="51"/>
      <c r="CE537" s="51"/>
      <c r="CF537" s="51"/>
      <c r="CG537" s="51"/>
      <c r="CH537" s="51"/>
      <c r="CI537" s="51"/>
      <c r="CJ537" s="51"/>
      <c r="CK537" s="51"/>
      <c r="CL537" s="51"/>
      <c r="CM537" s="51"/>
      <c r="CN537" s="51"/>
      <c r="CO537" s="51"/>
      <c r="CP537" s="51"/>
      <c r="CQ537" s="51"/>
      <c r="CR537" s="51"/>
      <c r="CS537" s="51"/>
      <c r="CT537" s="51"/>
      <c r="CU537" s="1"/>
      <c r="CV537" s="1"/>
      <c r="CW537" s="1"/>
      <c r="CX537" s="1"/>
      <c r="CY537" s="1"/>
      <c r="CZ537" s="1"/>
    </row>
    <row r="538" spans="1:104" ht="14.25" customHeight="1">
      <c r="A538" s="1"/>
      <c r="B538" s="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  <c r="CC538" s="51"/>
      <c r="CD538" s="51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51"/>
      <c r="CQ538" s="51"/>
      <c r="CR538" s="51"/>
      <c r="CS538" s="51"/>
      <c r="CT538" s="51"/>
      <c r="CU538" s="1"/>
      <c r="CV538" s="1"/>
      <c r="CW538" s="1"/>
      <c r="CX538" s="1"/>
      <c r="CY538" s="1"/>
      <c r="CZ538" s="1"/>
    </row>
    <row r="539" spans="1:104" ht="14.25" customHeight="1">
      <c r="A539" s="1"/>
      <c r="B539" s="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  <c r="CC539" s="51"/>
      <c r="CD539" s="51"/>
      <c r="CE539" s="51"/>
      <c r="CF539" s="51"/>
      <c r="CG539" s="51"/>
      <c r="CH539" s="51"/>
      <c r="CI539" s="51"/>
      <c r="CJ539" s="51"/>
      <c r="CK539" s="51"/>
      <c r="CL539" s="51"/>
      <c r="CM539" s="51"/>
      <c r="CN539" s="51"/>
      <c r="CO539" s="51"/>
      <c r="CP539" s="51"/>
      <c r="CQ539" s="51"/>
      <c r="CR539" s="51"/>
      <c r="CS539" s="51"/>
      <c r="CT539" s="51"/>
      <c r="CU539" s="1"/>
      <c r="CV539" s="1"/>
      <c r="CW539" s="1"/>
      <c r="CX539" s="1"/>
      <c r="CY539" s="1"/>
      <c r="CZ539" s="1"/>
    </row>
    <row r="540" spans="1:104" ht="14.25" customHeight="1">
      <c r="A540" s="1"/>
      <c r="B540" s="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  <c r="CC540" s="51"/>
      <c r="CD540" s="51"/>
      <c r="CE540" s="51"/>
      <c r="CF540" s="51"/>
      <c r="CG540" s="51"/>
      <c r="CH540" s="51"/>
      <c r="CI540" s="51"/>
      <c r="CJ540" s="51"/>
      <c r="CK540" s="51"/>
      <c r="CL540" s="51"/>
      <c r="CM540" s="51"/>
      <c r="CN540" s="51"/>
      <c r="CO540" s="51"/>
      <c r="CP540" s="51"/>
      <c r="CQ540" s="51"/>
      <c r="CR540" s="51"/>
      <c r="CS540" s="51"/>
      <c r="CT540" s="51"/>
      <c r="CU540" s="1"/>
      <c r="CV540" s="1"/>
      <c r="CW540" s="1"/>
      <c r="CX540" s="1"/>
      <c r="CY540" s="1"/>
      <c r="CZ540" s="1"/>
    </row>
    <row r="541" spans="1:104" ht="14.25" customHeight="1">
      <c r="A541" s="1"/>
      <c r="B541" s="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  <c r="CC541" s="51"/>
      <c r="CD541" s="51"/>
      <c r="CE541" s="51"/>
      <c r="CF541" s="51"/>
      <c r="CG541" s="51"/>
      <c r="CH541" s="51"/>
      <c r="CI541" s="51"/>
      <c r="CJ541" s="51"/>
      <c r="CK541" s="51"/>
      <c r="CL541" s="51"/>
      <c r="CM541" s="51"/>
      <c r="CN541" s="51"/>
      <c r="CO541" s="51"/>
      <c r="CP541" s="51"/>
      <c r="CQ541" s="51"/>
      <c r="CR541" s="51"/>
      <c r="CS541" s="51"/>
      <c r="CT541" s="51"/>
      <c r="CU541" s="1"/>
      <c r="CV541" s="1"/>
      <c r="CW541" s="1"/>
      <c r="CX541" s="1"/>
      <c r="CY541" s="1"/>
      <c r="CZ541" s="1"/>
    </row>
    <row r="542" spans="1:104" ht="14.25" customHeight="1">
      <c r="A542" s="1"/>
      <c r="B542" s="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  <c r="CO542" s="51"/>
      <c r="CP542" s="51"/>
      <c r="CQ542" s="51"/>
      <c r="CR542" s="51"/>
      <c r="CS542" s="51"/>
      <c r="CT542" s="51"/>
      <c r="CU542" s="1"/>
      <c r="CV542" s="1"/>
      <c r="CW542" s="1"/>
      <c r="CX542" s="1"/>
      <c r="CY542" s="1"/>
      <c r="CZ542" s="1"/>
    </row>
    <row r="543" spans="1:104" ht="14.25" customHeight="1">
      <c r="A543" s="1"/>
      <c r="B543" s="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F543" s="51"/>
      <c r="CG543" s="51"/>
      <c r="CH543" s="51"/>
      <c r="CI543" s="51"/>
      <c r="CJ543" s="51"/>
      <c r="CK543" s="51"/>
      <c r="CL543" s="51"/>
      <c r="CM543" s="51"/>
      <c r="CN543" s="51"/>
      <c r="CO543" s="51"/>
      <c r="CP543" s="51"/>
      <c r="CQ543" s="51"/>
      <c r="CR543" s="51"/>
      <c r="CS543" s="51"/>
      <c r="CT543" s="51"/>
      <c r="CU543" s="1"/>
      <c r="CV543" s="1"/>
      <c r="CW543" s="1"/>
      <c r="CX543" s="1"/>
      <c r="CY543" s="1"/>
      <c r="CZ543" s="1"/>
    </row>
    <row r="544" spans="1:104" ht="14.25" customHeight="1">
      <c r="A544" s="1"/>
      <c r="B544" s="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F544" s="51"/>
      <c r="CG544" s="51"/>
      <c r="CH544" s="51"/>
      <c r="CI544" s="51"/>
      <c r="CJ544" s="51"/>
      <c r="CK544" s="51"/>
      <c r="CL544" s="51"/>
      <c r="CM544" s="51"/>
      <c r="CN544" s="51"/>
      <c r="CO544" s="51"/>
      <c r="CP544" s="51"/>
      <c r="CQ544" s="51"/>
      <c r="CR544" s="51"/>
      <c r="CS544" s="51"/>
      <c r="CT544" s="51"/>
      <c r="CU544" s="1"/>
      <c r="CV544" s="1"/>
      <c r="CW544" s="1"/>
      <c r="CX544" s="1"/>
      <c r="CY544" s="1"/>
      <c r="CZ544" s="1"/>
    </row>
    <row r="545" spans="1:104" ht="14.25" customHeight="1">
      <c r="A545" s="1"/>
      <c r="B545" s="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  <c r="CQ545" s="51"/>
      <c r="CR545" s="51"/>
      <c r="CS545" s="51"/>
      <c r="CT545" s="51"/>
      <c r="CU545" s="1"/>
      <c r="CV545" s="1"/>
      <c r="CW545" s="1"/>
      <c r="CX545" s="1"/>
      <c r="CY545" s="1"/>
      <c r="CZ545" s="1"/>
    </row>
    <row r="546" spans="1:104" ht="14.25" customHeight="1">
      <c r="A546" s="1"/>
      <c r="B546" s="2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51"/>
      <c r="CQ546" s="51"/>
      <c r="CR546" s="51"/>
      <c r="CS546" s="51"/>
      <c r="CT546" s="51"/>
      <c r="CU546" s="1"/>
      <c r="CV546" s="1"/>
      <c r="CW546" s="1"/>
      <c r="CX546" s="1"/>
      <c r="CY546" s="1"/>
      <c r="CZ546" s="1"/>
    </row>
    <row r="547" spans="1:104" ht="14.25" customHeight="1">
      <c r="A547" s="1"/>
      <c r="B547" s="2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51"/>
      <c r="CG547" s="51"/>
      <c r="CH547" s="51"/>
      <c r="CI547" s="51"/>
      <c r="CJ547" s="51"/>
      <c r="CK547" s="51"/>
      <c r="CL547" s="51"/>
      <c r="CM547" s="51"/>
      <c r="CN547" s="51"/>
      <c r="CO547" s="51"/>
      <c r="CP547" s="51"/>
      <c r="CQ547" s="51"/>
      <c r="CR547" s="51"/>
      <c r="CS547" s="51"/>
      <c r="CT547" s="51"/>
      <c r="CU547" s="1"/>
      <c r="CV547" s="1"/>
      <c r="CW547" s="1"/>
      <c r="CX547" s="1"/>
      <c r="CY547" s="1"/>
      <c r="CZ547" s="1"/>
    </row>
    <row r="548" spans="1:104" ht="14.25" customHeight="1">
      <c r="A548" s="1"/>
      <c r="B548" s="2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51"/>
      <c r="CG548" s="51"/>
      <c r="CH548" s="51"/>
      <c r="CI548" s="51"/>
      <c r="CJ548" s="51"/>
      <c r="CK548" s="51"/>
      <c r="CL548" s="51"/>
      <c r="CM548" s="51"/>
      <c r="CN548" s="51"/>
      <c r="CO548" s="51"/>
      <c r="CP548" s="51"/>
      <c r="CQ548" s="51"/>
      <c r="CR548" s="51"/>
      <c r="CS548" s="51"/>
      <c r="CT548" s="51"/>
      <c r="CU548" s="1"/>
      <c r="CV548" s="1"/>
      <c r="CW548" s="1"/>
      <c r="CX548" s="1"/>
      <c r="CY548" s="1"/>
      <c r="CZ548" s="1"/>
    </row>
    <row r="549" spans="1:104" ht="14.25" customHeight="1">
      <c r="A549" s="1"/>
      <c r="B549" s="2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  <c r="CQ549" s="51"/>
      <c r="CR549" s="51"/>
      <c r="CS549" s="51"/>
      <c r="CT549" s="51"/>
      <c r="CU549" s="1"/>
      <c r="CV549" s="1"/>
      <c r="CW549" s="1"/>
      <c r="CX549" s="1"/>
      <c r="CY549" s="1"/>
      <c r="CZ549" s="1"/>
    </row>
    <row r="550" spans="1:104" ht="14.25" customHeight="1">
      <c r="A550" s="1"/>
      <c r="B550" s="2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  <c r="CQ550" s="51"/>
      <c r="CR550" s="51"/>
      <c r="CS550" s="51"/>
      <c r="CT550" s="51"/>
      <c r="CU550" s="1"/>
      <c r="CV550" s="1"/>
      <c r="CW550" s="1"/>
      <c r="CX550" s="1"/>
      <c r="CY550" s="1"/>
      <c r="CZ550" s="1"/>
    </row>
    <row r="551" spans="1:104" ht="14.25" customHeight="1">
      <c r="A551" s="1"/>
      <c r="B551" s="2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  <c r="CQ551" s="51"/>
      <c r="CR551" s="51"/>
      <c r="CS551" s="51"/>
      <c r="CT551" s="51"/>
      <c r="CU551" s="1"/>
      <c r="CV551" s="1"/>
      <c r="CW551" s="1"/>
      <c r="CX551" s="1"/>
      <c r="CY551" s="1"/>
      <c r="CZ551" s="1"/>
    </row>
    <row r="552" spans="1:104" ht="14.25" customHeight="1">
      <c r="A552" s="1"/>
      <c r="B552" s="2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 s="51"/>
      <c r="CO552" s="51"/>
      <c r="CP552" s="51"/>
      <c r="CQ552" s="51"/>
      <c r="CR552" s="51"/>
      <c r="CS552" s="51"/>
      <c r="CT552" s="51"/>
      <c r="CU552" s="1"/>
      <c r="CV552" s="1"/>
      <c r="CW552" s="1"/>
      <c r="CX552" s="1"/>
      <c r="CY552" s="1"/>
      <c r="CZ552" s="1"/>
    </row>
    <row r="553" spans="1:104" ht="14.25" customHeight="1">
      <c r="A553" s="1"/>
      <c r="B553" s="2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 s="51"/>
      <c r="CO553" s="51"/>
      <c r="CP553" s="51"/>
      <c r="CQ553" s="51"/>
      <c r="CR553" s="51"/>
      <c r="CS553" s="51"/>
      <c r="CT553" s="51"/>
      <c r="CU553" s="1"/>
      <c r="CV553" s="1"/>
      <c r="CW553" s="1"/>
      <c r="CX553" s="1"/>
      <c r="CY553" s="1"/>
      <c r="CZ553" s="1"/>
    </row>
    <row r="554" spans="1:104" ht="14.25" customHeight="1">
      <c r="A554" s="1"/>
      <c r="B554" s="2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 s="51"/>
      <c r="CO554" s="51"/>
      <c r="CP554" s="51"/>
      <c r="CQ554" s="51"/>
      <c r="CR554" s="51"/>
      <c r="CS554" s="51"/>
      <c r="CT554" s="51"/>
      <c r="CU554" s="1"/>
      <c r="CV554" s="1"/>
      <c r="CW554" s="1"/>
      <c r="CX554" s="1"/>
      <c r="CY554" s="1"/>
      <c r="CZ554" s="1"/>
    </row>
    <row r="555" spans="1:104" ht="14.25" customHeight="1">
      <c r="A555" s="1"/>
      <c r="B555" s="2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 s="51"/>
      <c r="CO555" s="51"/>
      <c r="CP555" s="51"/>
      <c r="CQ555" s="51"/>
      <c r="CR555" s="51"/>
      <c r="CS555" s="51"/>
      <c r="CT555" s="51"/>
      <c r="CU555" s="1"/>
      <c r="CV555" s="1"/>
      <c r="CW555" s="1"/>
      <c r="CX555" s="1"/>
      <c r="CY555" s="1"/>
      <c r="CZ555" s="1"/>
    </row>
    <row r="556" spans="1:104" ht="14.25" customHeight="1">
      <c r="A556" s="1"/>
      <c r="B556" s="2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  <c r="CQ556" s="51"/>
      <c r="CR556" s="51"/>
      <c r="CS556" s="51"/>
      <c r="CT556" s="51"/>
      <c r="CU556" s="1"/>
      <c r="CV556" s="1"/>
      <c r="CW556" s="1"/>
      <c r="CX556" s="1"/>
      <c r="CY556" s="1"/>
      <c r="CZ556" s="1"/>
    </row>
    <row r="557" spans="1:104" ht="14.25" customHeight="1">
      <c r="A557" s="1"/>
      <c r="B557" s="2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  <c r="CQ557" s="51"/>
      <c r="CR557" s="51"/>
      <c r="CS557" s="51"/>
      <c r="CT557" s="51"/>
      <c r="CU557" s="1"/>
      <c r="CV557" s="1"/>
      <c r="CW557" s="1"/>
      <c r="CX557" s="1"/>
      <c r="CY557" s="1"/>
      <c r="CZ557" s="1"/>
    </row>
    <row r="558" spans="1:104" ht="14.25" customHeight="1">
      <c r="A558" s="1"/>
      <c r="B558" s="2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  <c r="CQ558" s="51"/>
      <c r="CR558" s="51"/>
      <c r="CS558" s="51"/>
      <c r="CT558" s="51"/>
      <c r="CU558" s="1"/>
      <c r="CV558" s="1"/>
      <c r="CW558" s="1"/>
      <c r="CX558" s="1"/>
      <c r="CY558" s="1"/>
      <c r="CZ558" s="1"/>
    </row>
    <row r="559" spans="1:104" ht="14.25" customHeight="1">
      <c r="A559" s="1"/>
      <c r="B559" s="2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  <c r="CC559" s="51"/>
      <c r="CD559" s="51"/>
      <c r="CE559" s="51"/>
      <c r="CF559" s="51"/>
      <c r="CG559" s="51"/>
      <c r="CH559" s="51"/>
      <c r="CI559" s="51"/>
      <c r="CJ559" s="51"/>
      <c r="CK559" s="51"/>
      <c r="CL559" s="51"/>
      <c r="CM559" s="51"/>
      <c r="CN559" s="51"/>
      <c r="CO559" s="51"/>
      <c r="CP559" s="51"/>
      <c r="CQ559" s="51"/>
      <c r="CR559" s="51"/>
      <c r="CS559" s="51"/>
      <c r="CT559" s="51"/>
      <c r="CU559" s="1"/>
      <c r="CV559" s="1"/>
      <c r="CW559" s="1"/>
      <c r="CX559" s="1"/>
      <c r="CY559" s="1"/>
      <c r="CZ559" s="1"/>
    </row>
    <row r="560" spans="1:104" ht="14.25" customHeight="1">
      <c r="A560" s="1"/>
      <c r="B560" s="2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  <c r="CC560" s="51"/>
      <c r="CD560" s="51"/>
      <c r="CE560" s="51"/>
      <c r="CF560" s="51"/>
      <c r="CG560" s="51"/>
      <c r="CH560" s="51"/>
      <c r="CI560" s="51"/>
      <c r="CJ560" s="51"/>
      <c r="CK560" s="51"/>
      <c r="CL560" s="51"/>
      <c r="CM560" s="51"/>
      <c r="CN560" s="51"/>
      <c r="CO560" s="51"/>
      <c r="CP560" s="51"/>
      <c r="CQ560" s="51"/>
      <c r="CR560" s="51"/>
      <c r="CS560" s="51"/>
      <c r="CT560" s="51"/>
      <c r="CU560" s="1"/>
      <c r="CV560" s="1"/>
      <c r="CW560" s="1"/>
      <c r="CX560" s="1"/>
      <c r="CY560" s="1"/>
      <c r="CZ560" s="1"/>
    </row>
    <row r="561" spans="1:104" ht="14.25" customHeight="1">
      <c r="A561" s="1"/>
      <c r="B561" s="2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  <c r="CC561" s="51"/>
      <c r="CD561" s="51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51"/>
      <c r="CQ561" s="51"/>
      <c r="CR561" s="51"/>
      <c r="CS561" s="51"/>
      <c r="CT561" s="51"/>
      <c r="CU561" s="1"/>
      <c r="CV561" s="1"/>
      <c r="CW561" s="1"/>
      <c r="CX561" s="1"/>
      <c r="CY561" s="1"/>
      <c r="CZ561" s="1"/>
    </row>
    <row r="562" spans="1:104" ht="14.25" customHeight="1">
      <c r="A562" s="1"/>
      <c r="B562" s="2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  <c r="CC562" s="51"/>
      <c r="CD562" s="51"/>
      <c r="CE562" s="51"/>
      <c r="CF562" s="51"/>
      <c r="CG562" s="51"/>
      <c r="CH562" s="51"/>
      <c r="CI562" s="51"/>
      <c r="CJ562" s="51"/>
      <c r="CK562" s="51"/>
      <c r="CL562" s="51"/>
      <c r="CM562" s="51"/>
      <c r="CN562" s="51"/>
      <c r="CO562" s="51"/>
      <c r="CP562" s="51"/>
      <c r="CQ562" s="51"/>
      <c r="CR562" s="51"/>
      <c r="CS562" s="51"/>
      <c r="CT562" s="51"/>
      <c r="CU562" s="1"/>
      <c r="CV562" s="1"/>
      <c r="CW562" s="1"/>
      <c r="CX562" s="1"/>
      <c r="CY562" s="1"/>
      <c r="CZ562" s="1"/>
    </row>
    <row r="563" spans="1:104" ht="14.25" customHeight="1">
      <c r="A563" s="1"/>
      <c r="B563" s="2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  <c r="CC563" s="51"/>
      <c r="CD563" s="51"/>
      <c r="CE563" s="51"/>
      <c r="CF563" s="51"/>
      <c r="CG563" s="51"/>
      <c r="CH563" s="51"/>
      <c r="CI563" s="51"/>
      <c r="CJ563" s="51"/>
      <c r="CK563" s="51"/>
      <c r="CL563" s="51"/>
      <c r="CM563" s="51"/>
      <c r="CN563" s="51"/>
      <c r="CO563" s="51"/>
      <c r="CP563" s="51"/>
      <c r="CQ563" s="51"/>
      <c r="CR563" s="51"/>
      <c r="CS563" s="51"/>
      <c r="CT563" s="51"/>
      <c r="CU563" s="1"/>
      <c r="CV563" s="1"/>
      <c r="CW563" s="1"/>
      <c r="CX563" s="1"/>
      <c r="CY563" s="1"/>
      <c r="CZ563" s="1"/>
    </row>
    <row r="564" spans="1:104" ht="14.25" customHeight="1">
      <c r="A564" s="1"/>
      <c r="B564" s="2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  <c r="CO564" s="51"/>
      <c r="CP564" s="51"/>
      <c r="CQ564" s="51"/>
      <c r="CR564" s="51"/>
      <c r="CS564" s="51"/>
      <c r="CT564" s="51"/>
      <c r="CU564" s="1"/>
      <c r="CV564" s="1"/>
      <c r="CW564" s="1"/>
      <c r="CX564" s="1"/>
      <c r="CY564" s="1"/>
      <c r="CZ564" s="1"/>
    </row>
    <row r="565" spans="1:104" ht="14.25" customHeight="1">
      <c r="A565" s="1"/>
      <c r="B565" s="2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  <c r="CC565" s="51"/>
      <c r="CD565" s="51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51"/>
      <c r="CQ565" s="51"/>
      <c r="CR565" s="51"/>
      <c r="CS565" s="51"/>
      <c r="CT565" s="51"/>
      <c r="CU565" s="1"/>
      <c r="CV565" s="1"/>
      <c r="CW565" s="1"/>
      <c r="CX565" s="1"/>
      <c r="CY565" s="1"/>
      <c r="CZ565" s="1"/>
    </row>
    <row r="566" spans="1:104" ht="14.25" customHeight="1">
      <c r="A566" s="1"/>
      <c r="B566" s="2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  <c r="CC566" s="51"/>
      <c r="CD566" s="51"/>
      <c r="CE566" s="51"/>
      <c r="CF566" s="51"/>
      <c r="CG566" s="51"/>
      <c r="CH566" s="51"/>
      <c r="CI566" s="51"/>
      <c r="CJ566" s="51"/>
      <c r="CK566" s="51"/>
      <c r="CL566" s="51"/>
      <c r="CM566" s="51"/>
      <c r="CN566" s="51"/>
      <c r="CO566" s="51"/>
      <c r="CP566" s="51"/>
      <c r="CQ566" s="51"/>
      <c r="CR566" s="51"/>
      <c r="CS566" s="51"/>
      <c r="CT566" s="51"/>
      <c r="CU566" s="1"/>
      <c r="CV566" s="1"/>
      <c r="CW566" s="1"/>
      <c r="CX566" s="1"/>
      <c r="CY566" s="1"/>
      <c r="CZ566" s="1"/>
    </row>
    <row r="567" spans="1:104" ht="14.25" customHeight="1">
      <c r="A567" s="1"/>
      <c r="B567" s="2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  <c r="CQ567" s="51"/>
      <c r="CR567" s="51"/>
      <c r="CS567" s="51"/>
      <c r="CT567" s="51"/>
      <c r="CU567" s="1"/>
      <c r="CV567" s="1"/>
      <c r="CW567" s="1"/>
      <c r="CX567" s="1"/>
      <c r="CY567" s="1"/>
      <c r="CZ567" s="1"/>
    </row>
    <row r="568" spans="1:104" ht="14.25" customHeight="1">
      <c r="A568" s="1"/>
      <c r="B568" s="2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  <c r="CC568" s="51"/>
      <c r="CD568" s="51"/>
      <c r="CE568" s="51"/>
      <c r="CF568" s="51"/>
      <c r="CG568" s="51"/>
      <c r="CH568" s="51"/>
      <c r="CI568" s="51"/>
      <c r="CJ568" s="51"/>
      <c r="CK568" s="51"/>
      <c r="CL568" s="51"/>
      <c r="CM568" s="51"/>
      <c r="CN568" s="51"/>
      <c r="CO568" s="51"/>
      <c r="CP568" s="51"/>
      <c r="CQ568" s="51"/>
      <c r="CR568" s="51"/>
      <c r="CS568" s="51"/>
      <c r="CT568" s="51"/>
      <c r="CU568" s="1"/>
      <c r="CV568" s="1"/>
      <c r="CW568" s="1"/>
      <c r="CX568" s="1"/>
      <c r="CY568" s="1"/>
      <c r="CZ568" s="1"/>
    </row>
    <row r="569" spans="1:104" ht="14.25" customHeight="1">
      <c r="A569" s="1"/>
      <c r="B569" s="2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  <c r="CC569" s="51"/>
      <c r="CD569" s="51"/>
      <c r="CE569" s="51"/>
      <c r="CF569" s="51"/>
      <c r="CG569" s="51"/>
      <c r="CH569" s="51"/>
      <c r="CI569" s="51"/>
      <c r="CJ569" s="51"/>
      <c r="CK569" s="51"/>
      <c r="CL569" s="51"/>
      <c r="CM569" s="51"/>
      <c r="CN569" s="51"/>
      <c r="CO569" s="51"/>
      <c r="CP569" s="51"/>
      <c r="CQ569" s="51"/>
      <c r="CR569" s="51"/>
      <c r="CS569" s="51"/>
      <c r="CT569" s="51"/>
      <c r="CU569" s="1"/>
      <c r="CV569" s="1"/>
      <c r="CW569" s="1"/>
      <c r="CX569" s="1"/>
      <c r="CY569" s="1"/>
      <c r="CZ569" s="1"/>
    </row>
    <row r="570" spans="1:104" ht="14.25" customHeight="1">
      <c r="A570" s="1"/>
      <c r="B570" s="2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51"/>
      <c r="CQ570" s="51"/>
      <c r="CR570" s="51"/>
      <c r="CS570" s="51"/>
      <c r="CT570" s="51"/>
      <c r="CU570" s="1"/>
      <c r="CV570" s="1"/>
      <c r="CW570" s="1"/>
      <c r="CX570" s="1"/>
      <c r="CY570" s="1"/>
      <c r="CZ570" s="1"/>
    </row>
    <row r="571" spans="1:104" ht="14.25" customHeight="1">
      <c r="A571" s="1"/>
      <c r="B571" s="2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51"/>
      <c r="CH571" s="51"/>
      <c r="CI571" s="51"/>
      <c r="CJ571" s="51"/>
      <c r="CK571" s="51"/>
      <c r="CL571" s="51"/>
      <c r="CM571" s="51"/>
      <c r="CN571" s="51"/>
      <c r="CO571" s="51"/>
      <c r="CP571" s="51"/>
      <c r="CQ571" s="51"/>
      <c r="CR571" s="51"/>
      <c r="CS571" s="51"/>
      <c r="CT571" s="51"/>
      <c r="CU571" s="1"/>
      <c r="CV571" s="1"/>
      <c r="CW571" s="1"/>
      <c r="CX571" s="1"/>
      <c r="CY571" s="1"/>
      <c r="CZ571" s="1"/>
    </row>
    <row r="572" spans="1:104" ht="14.25" customHeight="1">
      <c r="A572" s="1"/>
      <c r="B572" s="2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51"/>
      <c r="CH572" s="51"/>
      <c r="CI572" s="51"/>
      <c r="CJ572" s="51"/>
      <c r="CK572" s="51"/>
      <c r="CL572" s="51"/>
      <c r="CM572" s="51"/>
      <c r="CN572" s="51"/>
      <c r="CO572" s="51"/>
      <c r="CP572" s="51"/>
      <c r="CQ572" s="51"/>
      <c r="CR572" s="51"/>
      <c r="CS572" s="51"/>
      <c r="CT572" s="51"/>
      <c r="CU572" s="1"/>
      <c r="CV572" s="1"/>
      <c r="CW572" s="1"/>
      <c r="CX572" s="1"/>
      <c r="CY572" s="1"/>
      <c r="CZ572" s="1"/>
    </row>
    <row r="573" spans="1:104" ht="14.25" customHeight="1">
      <c r="A573" s="1"/>
      <c r="B573" s="2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  <c r="CC573" s="51"/>
      <c r="CD573" s="51"/>
      <c r="CE573" s="51"/>
      <c r="CF573" s="51"/>
      <c r="CG573" s="51"/>
      <c r="CH573" s="51"/>
      <c r="CI573" s="51"/>
      <c r="CJ573" s="51"/>
      <c r="CK573" s="51"/>
      <c r="CL573" s="51"/>
      <c r="CM573" s="51"/>
      <c r="CN573" s="51"/>
      <c r="CO573" s="51"/>
      <c r="CP573" s="51"/>
      <c r="CQ573" s="51"/>
      <c r="CR573" s="51"/>
      <c r="CS573" s="51"/>
      <c r="CT573" s="51"/>
      <c r="CU573" s="1"/>
      <c r="CV573" s="1"/>
      <c r="CW573" s="1"/>
      <c r="CX573" s="1"/>
      <c r="CY573" s="1"/>
      <c r="CZ573" s="1"/>
    </row>
    <row r="574" spans="1:104" ht="14.25" customHeight="1">
      <c r="A574" s="1"/>
      <c r="B574" s="2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  <c r="CC574" s="51"/>
      <c r="CD574" s="51"/>
      <c r="CE574" s="51"/>
      <c r="CF574" s="51"/>
      <c r="CG574" s="51"/>
      <c r="CH574" s="51"/>
      <c r="CI574" s="51"/>
      <c r="CJ574" s="51"/>
      <c r="CK574" s="51"/>
      <c r="CL574" s="51"/>
      <c r="CM574" s="51"/>
      <c r="CN574" s="51"/>
      <c r="CO574" s="51"/>
      <c r="CP574" s="51"/>
      <c r="CQ574" s="51"/>
      <c r="CR574" s="51"/>
      <c r="CS574" s="51"/>
      <c r="CT574" s="51"/>
      <c r="CU574" s="1"/>
      <c r="CV574" s="1"/>
      <c r="CW574" s="1"/>
      <c r="CX574" s="1"/>
      <c r="CY574" s="1"/>
      <c r="CZ574" s="1"/>
    </row>
    <row r="575" spans="1:104" ht="14.25" customHeight="1">
      <c r="A575" s="1"/>
      <c r="B575" s="2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  <c r="CC575" s="51"/>
      <c r="CD575" s="51"/>
      <c r="CE575" s="51"/>
      <c r="CF575" s="51"/>
      <c r="CG575" s="51"/>
      <c r="CH575" s="51"/>
      <c r="CI575" s="51"/>
      <c r="CJ575" s="51"/>
      <c r="CK575" s="51"/>
      <c r="CL575" s="51"/>
      <c r="CM575" s="51"/>
      <c r="CN575" s="51"/>
      <c r="CO575" s="51"/>
      <c r="CP575" s="51"/>
      <c r="CQ575" s="51"/>
      <c r="CR575" s="51"/>
      <c r="CS575" s="51"/>
      <c r="CT575" s="51"/>
      <c r="CU575" s="1"/>
      <c r="CV575" s="1"/>
      <c r="CW575" s="1"/>
      <c r="CX575" s="1"/>
      <c r="CY575" s="1"/>
      <c r="CZ575" s="1"/>
    </row>
    <row r="576" spans="1:104" ht="14.25" customHeight="1">
      <c r="A576" s="1"/>
      <c r="B576" s="2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  <c r="CC576" s="51"/>
      <c r="CD576" s="51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51"/>
      <c r="CQ576" s="51"/>
      <c r="CR576" s="51"/>
      <c r="CS576" s="51"/>
      <c r="CT576" s="51"/>
      <c r="CU576" s="1"/>
      <c r="CV576" s="1"/>
      <c r="CW576" s="1"/>
      <c r="CX576" s="1"/>
      <c r="CY576" s="1"/>
      <c r="CZ576" s="1"/>
    </row>
    <row r="577" spans="1:104" ht="14.25" customHeight="1">
      <c r="A577" s="1"/>
      <c r="B577" s="2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51"/>
      <c r="CH577" s="51"/>
      <c r="CI577" s="51"/>
      <c r="CJ577" s="51"/>
      <c r="CK577" s="51"/>
      <c r="CL577" s="51"/>
      <c r="CM577" s="51"/>
      <c r="CN577" s="51"/>
      <c r="CO577" s="51"/>
      <c r="CP577" s="51"/>
      <c r="CQ577" s="51"/>
      <c r="CR577" s="51"/>
      <c r="CS577" s="51"/>
      <c r="CT577" s="51"/>
      <c r="CU577" s="1"/>
      <c r="CV577" s="1"/>
      <c r="CW577" s="1"/>
      <c r="CX577" s="1"/>
      <c r="CY577" s="1"/>
      <c r="CZ577" s="1"/>
    </row>
    <row r="578" spans="1:104" ht="14.25" customHeight="1">
      <c r="A578" s="1"/>
      <c r="B578" s="2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  <c r="CQ578" s="51"/>
      <c r="CR578" s="51"/>
      <c r="CS578" s="51"/>
      <c r="CT578" s="51"/>
      <c r="CU578" s="1"/>
      <c r="CV578" s="1"/>
      <c r="CW578" s="1"/>
      <c r="CX578" s="1"/>
      <c r="CY578" s="1"/>
      <c r="CZ578" s="1"/>
    </row>
    <row r="579" spans="1:104" ht="14.25" customHeight="1">
      <c r="A579" s="1"/>
      <c r="B579" s="2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  <c r="CC579" s="51"/>
      <c r="CD579" s="51"/>
      <c r="CE579" s="51"/>
      <c r="CF579" s="51"/>
      <c r="CG579" s="51"/>
      <c r="CH579" s="51"/>
      <c r="CI579" s="51"/>
      <c r="CJ579" s="51"/>
      <c r="CK579" s="51"/>
      <c r="CL579" s="51"/>
      <c r="CM579" s="51"/>
      <c r="CN579" s="51"/>
      <c r="CO579" s="51"/>
      <c r="CP579" s="51"/>
      <c r="CQ579" s="51"/>
      <c r="CR579" s="51"/>
      <c r="CS579" s="51"/>
      <c r="CT579" s="51"/>
      <c r="CU579" s="1"/>
      <c r="CV579" s="1"/>
      <c r="CW579" s="1"/>
      <c r="CX579" s="1"/>
      <c r="CY579" s="1"/>
      <c r="CZ579" s="1"/>
    </row>
    <row r="580" spans="1:104" ht="14.25" customHeight="1">
      <c r="A580" s="1"/>
      <c r="B580" s="2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  <c r="CC580" s="51"/>
      <c r="CD580" s="51"/>
      <c r="CE580" s="51"/>
      <c r="CF580" s="51"/>
      <c r="CG580" s="51"/>
      <c r="CH580" s="51"/>
      <c r="CI580" s="51"/>
      <c r="CJ580" s="51"/>
      <c r="CK580" s="51"/>
      <c r="CL580" s="51"/>
      <c r="CM580" s="51"/>
      <c r="CN580" s="51"/>
      <c r="CO580" s="51"/>
      <c r="CP580" s="51"/>
      <c r="CQ580" s="51"/>
      <c r="CR580" s="51"/>
      <c r="CS580" s="51"/>
      <c r="CT580" s="51"/>
      <c r="CU580" s="1"/>
      <c r="CV580" s="1"/>
      <c r="CW580" s="1"/>
      <c r="CX580" s="1"/>
      <c r="CY580" s="1"/>
      <c r="CZ580" s="1"/>
    </row>
    <row r="581" spans="1:104" ht="14.25" customHeight="1">
      <c r="A581" s="1"/>
      <c r="B581" s="2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  <c r="CO581" s="51"/>
      <c r="CP581" s="51"/>
      <c r="CQ581" s="51"/>
      <c r="CR581" s="51"/>
      <c r="CS581" s="51"/>
      <c r="CT581" s="51"/>
      <c r="CU581" s="1"/>
      <c r="CV581" s="1"/>
      <c r="CW581" s="1"/>
      <c r="CX581" s="1"/>
      <c r="CY581" s="1"/>
      <c r="CZ581" s="1"/>
    </row>
    <row r="582" spans="1:104" ht="14.25" customHeight="1">
      <c r="A582" s="1"/>
      <c r="B582" s="2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51"/>
      <c r="CH582" s="51"/>
      <c r="CI582" s="51"/>
      <c r="CJ582" s="51"/>
      <c r="CK582" s="51"/>
      <c r="CL582" s="51"/>
      <c r="CM582" s="51"/>
      <c r="CN582" s="51"/>
      <c r="CO582" s="51"/>
      <c r="CP582" s="51"/>
      <c r="CQ582" s="51"/>
      <c r="CR582" s="51"/>
      <c r="CS582" s="51"/>
      <c r="CT582" s="51"/>
      <c r="CU582" s="1"/>
      <c r="CV582" s="1"/>
      <c r="CW582" s="1"/>
      <c r="CX582" s="1"/>
      <c r="CY582" s="1"/>
      <c r="CZ582" s="1"/>
    </row>
    <row r="583" spans="1:104" ht="14.25" customHeight="1">
      <c r="A583" s="1"/>
      <c r="B583" s="2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51"/>
      <c r="CH583" s="51"/>
      <c r="CI583" s="51"/>
      <c r="CJ583" s="51"/>
      <c r="CK583" s="51"/>
      <c r="CL583" s="51"/>
      <c r="CM583" s="51"/>
      <c r="CN583" s="51"/>
      <c r="CO583" s="51"/>
      <c r="CP583" s="51"/>
      <c r="CQ583" s="51"/>
      <c r="CR583" s="51"/>
      <c r="CS583" s="51"/>
      <c r="CT583" s="51"/>
      <c r="CU583" s="1"/>
      <c r="CV583" s="1"/>
      <c r="CW583" s="1"/>
      <c r="CX583" s="1"/>
      <c r="CY583" s="1"/>
      <c r="CZ583" s="1"/>
    </row>
    <row r="584" spans="1:104" ht="14.25" customHeight="1">
      <c r="A584" s="1"/>
      <c r="B584" s="2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  <c r="CC584" s="51"/>
      <c r="CD584" s="51"/>
      <c r="CE584" s="51"/>
      <c r="CF584" s="51"/>
      <c r="CG584" s="51"/>
      <c r="CH584" s="51"/>
      <c r="CI584" s="51"/>
      <c r="CJ584" s="51"/>
      <c r="CK584" s="51"/>
      <c r="CL584" s="51"/>
      <c r="CM584" s="51"/>
      <c r="CN584" s="51"/>
      <c r="CO584" s="51"/>
      <c r="CP584" s="51"/>
      <c r="CQ584" s="51"/>
      <c r="CR584" s="51"/>
      <c r="CS584" s="51"/>
      <c r="CT584" s="51"/>
      <c r="CU584" s="1"/>
      <c r="CV584" s="1"/>
      <c r="CW584" s="1"/>
      <c r="CX584" s="1"/>
      <c r="CY584" s="1"/>
      <c r="CZ584" s="1"/>
    </row>
    <row r="585" spans="1:104" ht="14.25" customHeight="1">
      <c r="A585" s="1"/>
      <c r="B585" s="2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  <c r="CC585" s="51"/>
      <c r="CD585" s="51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51"/>
      <c r="CQ585" s="51"/>
      <c r="CR585" s="51"/>
      <c r="CS585" s="51"/>
      <c r="CT585" s="51"/>
      <c r="CU585" s="1"/>
      <c r="CV585" s="1"/>
      <c r="CW585" s="1"/>
      <c r="CX585" s="1"/>
      <c r="CY585" s="1"/>
      <c r="CZ585" s="1"/>
    </row>
    <row r="586" spans="1:104" ht="14.25" customHeight="1">
      <c r="A586" s="1"/>
      <c r="B586" s="2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51"/>
      <c r="CF586" s="51"/>
      <c r="CG586" s="51"/>
      <c r="CH586" s="51"/>
      <c r="CI586" s="51"/>
      <c r="CJ586" s="51"/>
      <c r="CK586" s="51"/>
      <c r="CL586" s="51"/>
      <c r="CM586" s="51"/>
      <c r="CN586" s="51"/>
      <c r="CO586" s="51"/>
      <c r="CP586" s="51"/>
      <c r="CQ586" s="51"/>
      <c r="CR586" s="51"/>
      <c r="CS586" s="51"/>
      <c r="CT586" s="51"/>
      <c r="CU586" s="1"/>
      <c r="CV586" s="1"/>
      <c r="CW586" s="1"/>
      <c r="CX586" s="1"/>
      <c r="CY586" s="1"/>
      <c r="CZ586" s="1"/>
    </row>
    <row r="587" spans="1:104" ht="14.25" customHeight="1">
      <c r="A587" s="1"/>
      <c r="B587" s="2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  <c r="CO587" s="51"/>
      <c r="CP587" s="51"/>
      <c r="CQ587" s="51"/>
      <c r="CR587" s="51"/>
      <c r="CS587" s="51"/>
      <c r="CT587" s="51"/>
      <c r="CU587" s="1"/>
      <c r="CV587" s="1"/>
      <c r="CW587" s="1"/>
      <c r="CX587" s="1"/>
      <c r="CY587" s="1"/>
      <c r="CZ587" s="1"/>
    </row>
    <row r="588" spans="1:104" ht="14.25" customHeight="1">
      <c r="A588" s="1"/>
      <c r="B588" s="2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  <c r="CC588" s="51"/>
      <c r="CD588" s="51"/>
      <c r="CE588" s="51"/>
      <c r="CF588" s="51"/>
      <c r="CG588" s="51"/>
      <c r="CH588" s="51"/>
      <c r="CI588" s="51"/>
      <c r="CJ588" s="51"/>
      <c r="CK588" s="51"/>
      <c r="CL588" s="51"/>
      <c r="CM588" s="51"/>
      <c r="CN588" s="51"/>
      <c r="CO588" s="51"/>
      <c r="CP588" s="51"/>
      <c r="CQ588" s="51"/>
      <c r="CR588" s="51"/>
      <c r="CS588" s="51"/>
      <c r="CT588" s="51"/>
      <c r="CU588" s="1"/>
      <c r="CV588" s="1"/>
      <c r="CW588" s="1"/>
      <c r="CX588" s="1"/>
      <c r="CY588" s="1"/>
      <c r="CZ588" s="1"/>
    </row>
    <row r="589" spans="1:104" ht="14.25" customHeight="1">
      <c r="A589" s="1"/>
      <c r="B589" s="2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  <c r="CQ589" s="51"/>
      <c r="CR589" s="51"/>
      <c r="CS589" s="51"/>
      <c r="CT589" s="51"/>
      <c r="CU589" s="1"/>
      <c r="CV589" s="1"/>
      <c r="CW589" s="1"/>
      <c r="CX589" s="1"/>
      <c r="CY589" s="1"/>
      <c r="CZ589" s="1"/>
    </row>
    <row r="590" spans="1:104" ht="14.25" customHeight="1">
      <c r="A590" s="1"/>
      <c r="B590" s="2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  <c r="CO590" s="51"/>
      <c r="CP590" s="51"/>
      <c r="CQ590" s="51"/>
      <c r="CR590" s="51"/>
      <c r="CS590" s="51"/>
      <c r="CT590" s="51"/>
      <c r="CU590" s="1"/>
      <c r="CV590" s="1"/>
      <c r="CW590" s="1"/>
      <c r="CX590" s="1"/>
      <c r="CY590" s="1"/>
      <c r="CZ590" s="1"/>
    </row>
    <row r="591" spans="1:104" ht="14.25" customHeight="1">
      <c r="A591" s="1"/>
      <c r="B591" s="2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  <c r="CC591" s="51"/>
      <c r="CD591" s="51"/>
      <c r="CE591" s="51"/>
      <c r="CF591" s="51"/>
      <c r="CG591" s="51"/>
      <c r="CH591" s="51"/>
      <c r="CI591" s="51"/>
      <c r="CJ591" s="51"/>
      <c r="CK591" s="51"/>
      <c r="CL591" s="51"/>
      <c r="CM591" s="51"/>
      <c r="CN591" s="51"/>
      <c r="CO591" s="51"/>
      <c r="CP591" s="51"/>
      <c r="CQ591" s="51"/>
      <c r="CR591" s="51"/>
      <c r="CS591" s="51"/>
      <c r="CT591" s="51"/>
      <c r="CU591" s="1"/>
      <c r="CV591" s="1"/>
      <c r="CW591" s="1"/>
      <c r="CX591" s="1"/>
      <c r="CY591" s="1"/>
      <c r="CZ591" s="1"/>
    </row>
    <row r="592" spans="1:104" ht="14.25" customHeight="1">
      <c r="A592" s="1"/>
      <c r="B592" s="2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  <c r="CC592" s="51"/>
      <c r="CD592" s="51"/>
      <c r="CE592" s="51"/>
      <c r="CF592" s="51"/>
      <c r="CG592" s="51"/>
      <c r="CH592" s="51"/>
      <c r="CI592" s="51"/>
      <c r="CJ592" s="51"/>
      <c r="CK592" s="51"/>
      <c r="CL592" s="51"/>
      <c r="CM592" s="51"/>
      <c r="CN592" s="51"/>
      <c r="CO592" s="51"/>
      <c r="CP592" s="51"/>
      <c r="CQ592" s="51"/>
      <c r="CR592" s="51"/>
      <c r="CS592" s="51"/>
      <c r="CT592" s="51"/>
      <c r="CU592" s="1"/>
      <c r="CV592" s="1"/>
      <c r="CW592" s="1"/>
      <c r="CX592" s="1"/>
      <c r="CY592" s="1"/>
      <c r="CZ592" s="1"/>
    </row>
    <row r="593" spans="1:104" ht="14.25" customHeight="1">
      <c r="A593" s="1"/>
      <c r="B593" s="2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  <c r="CO593" s="51"/>
      <c r="CP593" s="51"/>
      <c r="CQ593" s="51"/>
      <c r="CR593" s="51"/>
      <c r="CS593" s="51"/>
      <c r="CT593" s="51"/>
      <c r="CU593" s="1"/>
      <c r="CV593" s="1"/>
      <c r="CW593" s="1"/>
      <c r="CX593" s="1"/>
      <c r="CY593" s="1"/>
      <c r="CZ593" s="1"/>
    </row>
    <row r="594" spans="1:104" ht="14.25" customHeight="1">
      <c r="A594" s="1"/>
      <c r="B594" s="2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  <c r="CC594" s="51"/>
      <c r="CD594" s="51"/>
      <c r="CE594" s="51"/>
      <c r="CF594" s="51"/>
      <c r="CG594" s="51"/>
      <c r="CH594" s="51"/>
      <c r="CI594" s="51"/>
      <c r="CJ594" s="51"/>
      <c r="CK594" s="51"/>
      <c r="CL594" s="51"/>
      <c r="CM594" s="51"/>
      <c r="CN594" s="51"/>
      <c r="CO594" s="51"/>
      <c r="CP594" s="51"/>
      <c r="CQ594" s="51"/>
      <c r="CR594" s="51"/>
      <c r="CS594" s="51"/>
      <c r="CT594" s="51"/>
      <c r="CU594" s="1"/>
      <c r="CV594" s="1"/>
      <c r="CW594" s="1"/>
      <c r="CX594" s="1"/>
      <c r="CY594" s="1"/>
      <c r="CZ594" s="1"/>
    </row>
    <row r="595" spans="1:104" ht="14.25" customHeight="1">
      <c r="A595" s="1"/>
      <c r="B595" s="2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  <c r="CC595" s="51"/>
      <c r="CD595" s="51"/>
      <c r="CE595" s="51"/>
      <c r="CF595" s="51"/>
      <c r="CG595" s="51"/>
      <c r="CH595" s="51"/>
      <c r="CI595" s="51"/>
      <c r="CJ595" s="51"/>
      <c r="CK595" s="51"/>
      <c r="CL595" s="51"/>
      <c r="CM595" s="51"/>
      <c r="CN595" s="51"/>
      <c r="CO595" s="51"/>
      <c r="CP595" s="51"/>
      <c r="CQ595" s="51"/>
      <c r="CR595" s="51"/>
      <c r="CS595" s="51"/>
      <c r="CT595" s="51"/>
      <c r="CU595" s="1"/>
      <c r="CV595" s="1"/>
      <c r="CW595" s="1"/>
      <c r="CX595" s="1"/>
      <c r="CY595" s="1"/>
      <c r="CZ595" s="1"/>
    </row>
    <row r="596" spans="1:104" ht="14.25" customHeight="1">
      <c r="A596" s="1"/>
      <c r="B596" s="2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  <c r="CC596" s="51"/>
      <c r="CD596" s="51"/>
      <c r="CE596" s="51"/>
      <c r="CF596" s="51"/>
      <c r="CG596" s="51"/>
      <c r="CH596" s="51"/>
      <c r="CI596" s="51"/>
      <c r="CJ596" s="51"/>
      <c r="CK596" s="51"/>
      <c r="CL596" s="51"/>
      <c r="CM596" s="51"/>
      <c r="CN596" s="51"/>
      <c r="CO596" s="51"/>
      <c r="CP596" s="51"/>
      <c r="CQ596" s="51"/>
      <c r="CR596" s="51"/>
      <c r="CS596" s="51"/>
      <c r="CT596" s="51"/>
      <c r="CU596" s="1"/>
      <c r="CV596" s="1"/>
      <c r="CW596" s="1"/>
      <c r="CX596" s="1"/>
      <c r="CY596" s="1"/>
      <c r="CZ596" s="1"/>
    </row>
    <row r="597" spans="1:104" ht="14.25" customHeight="1">
      <c r="A597" s="1"/>
      <c r="B597" s="2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  <c r="CC597" s="51"/>
      <c r="CD597" s="51"/>
      <c r="CE597" s="51"/>
      <c r="CF597" s="51"/>
      <c r="CG597" s="51"/>
      <c r="CH597" s="51"/>
      <c r="CI597" s="51"/>
      <c r="CJ597" s="51"/>
      <c r="CK597" s="51"/>
      <c r="CL597" s="51"/>
      <c r="CM597" s="51"/>
      <c r="CN597" s="51"/>
      <c r="CO597" s="51"/>
      <c r="CP597" s="51"/>
      <c r="CQ597" s="51"/>
      <c r="CR597" s="51"/>
      <c r="CS597" s="51"/>
      <c r="CT597" s="51"/>
      <c r="CU597" s="1"/>
      <c r="CV597" s="1"/>
      <c r="CW597" s="1"/>
      <c r="CX597" s="1"/>
      <c r="CY597" s="1"/>
      <c r="CZ597" s="1"/>
    </row>
    <row r="598" spans="1:104" ht="14.25" customHeight="1">
      <c r="A598" s="1"/>
      <c r="B598" s="2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  <c r="CC598" s="51"/>
      <c r="CD598" s="51"/>
      <c r="CE598" s="51"/>
      <c r="CF598" s="51"/>
      <c r="CG598" s="51"/>
      <c r="CH598" s="51"/>
      <c r="CI598" s="51"/>
      <c r="CJ598" s="51"/>
      <c r="CK598" s="51"/>
      <c r="CL598" s="51"/>
      <c r="CM598" s="51"/>
      <c r="CN598" s="51"/>
      <c r="CO598" s="51"/>
      <c r="CP598" s="51"/>
      <c r="CQ598" s="51"/>
      <c r="CR598" s="51"/>
      <c r="CS598" s="51"/>
      <c r="CT598" s="51"/>
      <c r="CU598" s="1"/>
      <c r="CV598" s="1"/>
      <c r="CW598" s="1"/>
      <c r="CX598" s="1"/>
      <c r="CY598" s="1"/>
      <c r="CZ598" s="1"/>
    </row>
    <row r="599" spans="1:104" ht="14.25" customHeight="1">
      <c r="A599" s="1"/>
      <c r="B599" s="2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  <c r="CC599" s="51"/>
      <c r="CD599" s="51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51"/>
      <c r="CQ599" s="51"/>
      <c r="CR599" s="51"/>
      <c r="CS599" s="51"/>
      <c r="CT599" s="51"/>
      <c r="CU599" s="1"/>
      <c r="CV599" s="1"/>
      <c r="CW599" s="1"/>
      <c r="CX599" s="1"/>
      <c r="CY599" s="1"/>
      <c r="CZ599" s="1"/>
    </row>
    <row r="600" spans="1:104" ht="14.25" customHeight="1">
      <c r="A600" s="1"/>
      <c r="B600" s="2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  <c r="CQ600" s="51"/>
      <c r="CR600" s="51"/>
      <c r="CS600" s="51"/>
      <c r="CT600" s="51"/>
      <c r="CU600" s="1"/>
      <c r="CV600" s="1"/>
      <c r="CW600" s="1"/>
      <c r="CX600" s="1"/>
      <c r="CY600" s="1"/>
      <c r="CZ600" s="1"/>
    </row>
    <row r="601" spans="1:104" ht="14.25" customHeight="1">
      <c r="A601" s="1"/>
      <c r="B601" s="2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  <c r="CC601" s="51"/>
      <c r="CD601" s="51"/>
      <c r="CE601" s="51"/>
      <c r="CF601" s="51"/>
      <c r="CG601" s="51"/>
      <c r="CH601" s="51"/>
      <c r="CI601" s="51"/>
      <c r="CJ601" s="51"/>
      <c r="CK601" s="51"/>
      <c r="CL601" s="51"/>
      <c r="CM601" s="51"/>
      <c r="CN601" s="51"/>
      <c r="CO601" s="51"/>
      <c r="CP601" s="51"/>
      <c r="CQ601" s="51"/>
      <c r="CR601" s="51"/>
      <c r="CS601" s="51"/>
      <c r="CT601" s="51"/>
      <c r="CU601" s="1"/>
      <c r="CV601" s="1"/>
      <c r="CW601" s="1"/>
      <c r="CX601" s="1"/>
      <c r="CY601" s="1"/>
      <c r="CZ601" s="1"/>
    </row>
    <row r="602" spans="1:104" ht="14.25" customHeight="1">
      <c r="A602" s="1"/>
      <c r="B602" s="2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  <c r="CC602" s="51"/>
      <c r="CD602" s="51"/>
      <c r="CE602" s="51"/>
      <c r="CF602" s="51"/>
      <c r="CG602" s="51"/>
      <c r="CH602" s="51"/>
      <c r="CI602" s="51"/>
      <c r="CJ602" s="51"/>
      <c r="CK602" s="51"/>
      <c r="CL602" s="51"/>
      <c r="CM602" s="51"/>
      <c r="CN602" s="51"/>
      <c r="CO602" s="51"/>
      <c r="CP602" s="51"/>
      <c r="CQ602" s="51"/>
      <c r="CR602" s="51"/>
      <c r="CS602" s="51"/>
      <c r="CT602" s="51"/>
      <c r="CU602" s="1"/>
      <c r="CV602" s="1"/>
      <c r="CW602" s="1"/>
      <c r="CX602" s="1"/>
      <c r="CY602" s="1"/>
      <c r="CZ602" s="1"/>
    </row>
    <row r="603" spans="1:104" ht="14.25" customHeight="1">
      <c r="A603" s="1"/>
      <c r="B603" s="2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  <c r="CC603" s="51"/>
      <c r="CD603" s="51"/>
      <c r="CE603" s="51"/>
      <c r="CF603" s="51"/>
      <c r="CG603" s="51"/>
      <c r="CH603" s="51"/>
      <c r="CI603" s="51"/>
      <c r="CJ603" s="51"/>
      <c r="CK603" s="51"/>
      <c r="CL603" s="51"/>
      <c r="CM603" s="51"/>
      <c r="CN603" s="51"/>
      <c r="CO603" s="51"/>
      <c r="CP603" s="51"/>
      <c r="CQ603" s="51"/>
      <c r="CR603" s="51"/>
      <c r="CS603" s="51"/>
      <c r="CT603" s="51"/>
      <c r="CU603" s="1"/>
      <c r="CV603" s="1"/>
      <c r="CW603" s="1"/>
      <c r="CX603" s="1"/>
      <c r="CY603" s="1"/>
      <c r="CZ603" s="1"/>
    </row>
    <row r="604" spans="1:104" ht="14.25" customHeight="1">
      <c r="A604" s="1"/>
      <c r="B604" s="2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  <c r="CC604" s="51"/>
      <c r="CD604" s="51"/>
      <c r="CE604" s="51"/>
      <c r="CF604" s="51"/>
      <c r="CG604" s="51"/>
      <c r="CH604" s="51"/>
      <c r="CI604" s="51"/>
      <c r="CJ604" s="51"/>
      <c r="CK604" s="51"/>
      <c r="CL604" s="51"/>
      <c r="CM604" s="51"/>
      <c r="CN604" s="51"/>
      <c r="CO604" s="51"/>
      <c r="CP604" s="51"/>
      <c r="CQ604" s="51"/>
      <c r="CR604" s="51"/>
      <c r="CS604" s="51"/>
      <c r="CT604" s="51"/>
      <c r="CU604" s="1"/>
      <c r="CV604" s="1"/>
      <c r="CW604" s="1"/>
      <c r="CX604" s="1"/>
      <c r="CY604" s="1"/>
      <c r="CZ604" s="1"/>
    </row>
    <row r="605" spans="1:104" ht="14.25" customHeight="1">
      <c r="A605" s="1"/>
      <c r="B605" s="2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  <c r="CC605" s="51"/>
      <c r="CD605" s="51"/>
      <c r="CE605" s="51"/>
      <c r="CF605" s="51"/>
      <c r="CG605" s="51"/>
      <c r="CH605" s="51"/>
      <c r="CI605" s="51"/>
      <c r="CJ605" s="51"/>
      <c r="CK605" s="51"/>
      <c r="CL605" s="51"/>
      <c r="CM605" s="51"/>
      <c r="CN605" s="51"/>
      <c r="CO605" s="51"/>
      <c r="CP605" s="51"/>
      <c r="CQ605" s="51"/>
      <c r="CR605" s="51"/>
      <c r="CS605" s="51"/>
      <c r="CT605" s="51"/>
      <c r="CU605" s="1"/>
      <c r="CV605" s="1"/>
      <c r="CW605" s="1"/>
      <c r="CX605" s="1"/>
      <c r="CY605" s="1"/>
      <c r="CZ605" s="1"/>
    </row>
    <row r="606" spans="1:104" ht="14.25" customHeight="1">
      <c r="A606" s="1"/>
      <c r="B606" s="2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  <c r="CC606" s="51"/>
      <c r="CD606" s="51"/>
      <c r="CE606" s="51"/>
      <c r="CF606" s="51"/>
      <c r="CG606" s="51"/>
      <c r="CH606" s="51"/>
      <c r="CI606" s="51"/>
      <c r="CJ606" s="51"/>
      <c r="CK606" s="51"/>
      <c r="CL606" s="51"/>
      <c r="CM606" s="51"/>
      <c r="CN606" s="51"/>
      <c r="CO606" s="51"/>
      <c r="CP606" s="51"/>
      <c r="CQ606" s="51"/>
      <c r="CR606" s="51"/>
      <c r="CS606" s="51"/>
      <c r="CT606" s="51"/>
      <c r="CU606" s="1"/>
      <c r="CV606" s="1"/>
      <c r="CW606" s="1"/>
      <c r="CX606" s="1"/>
      <c r="CY606" s="1"/>
      <c r="CZ606" s="1"/>
    </row>
    <row r="607" spans="1:104" ht="14.25" customHeight="1">
      <c r="A607" s="1"/>
      <c r="B607" s="2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  <c r="CC607" s="51"/>
      <c r="CD607" s="51"/>
      <c r="CE607" s="51"/>
      <c r="CF607" s="51"/>
      <c r="CG607" s="51"/>
      <c r="CH607" s="51"/>
      <c r="CI607" s="51"/>
      <c r="CJ607" s="51"/>
      <c r="CK607" s="51"/>
      <c r="CL607" s="51"/>
      <c r="CM607" s="51"/>
      <c r="CN607" s="51"/>
      <c r="CO607" s="51"/>
      <c r="CP607" s="51"/>
      <c r="CQ607" s="51"/>
      <c r="CR607" s="51"/>
      <c r="CS607" s="51"/>
      <c r="CT607" s="51"/>
      <c r="CU607" s="1"/>
      <c r="CV607" s="1"/>
      <c r="CW607" s="1"/>
      <c r="CX607" s="1"/>
      <c r="CY607" s="1"/>
      <c r="CZ607" s="1"/>
    </row>
    <row r="608" spans="1:104" ht="14.25" customHeight="1">
      <c r="A608" s="1"/>
      <c r="B608" s="2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  <c r="CC608" s="51"/>
      <c r="CD608" s="51"/>
      <c r="CE608" s="51"/>
      <c r="CF608" s="51"/>
      <c r="CG608" s="51"/>
      <c r="CH608" s="51"/>
      <c r="CI608" s="51"/>
      <c r="CJ608" s="51"/>
      <c r="CK608" s="51"/>
      <c r="CL608" s="51"/>
      <c r="CM608" s="51"/>
      <c r="CN608" s="51"/>
      <c r="CO608" s="51"/>
      <c r="CP608" s="51"/>
      <c r="CQ608" s="51"/>
      <c r="CR608" s="51"/>
      <c r="CS608" s="51"/>
      <c r="CT608" s="51"/>
      <c r="CU608" s="1"/>
      <c r="CV608" s="1"/>
      <c r="CW608" s="1"/>
      <c r="CX608" s="1"/>
      <c r="CY608" s="1"/>
      <c r="CZ608" s="1"/>
    </row>
    <row r="609" spans="1:104" ht="14.25" customHeight="1">
      <c r="A609" s="1"/>
      <c r="B609" s="2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  <c r="CC609" s="51"/>
      <c r="CD609" s="51"/>
      <c r="CE609" s="51"/>
      <c r="CF609" s="51"/>
      <c r="CG609" s="51"/>
      <c r="CH609" s="51"/>
      <c r="CI609" s="51"/>
      <c r="CJ609" s="51"/>
      <c r="CK609" s="51"/>
      <c r="CL609" s="51"/>
      <c r="CM609" s="51"/>
      <c r="CN609" s="51"/>
      <c r="CO609" s="51"/>
      <c r="CP609" s="51"/>
      <c r="CQ609" s="51"/>
      <c r="CR609" s="51"/>
      <c r="CS609" s="51"/>
      <c r="CT609" s="51"/>
      <c r="CU609" s="1"/>
      <c r="CV609" s="1"/>
      <c r="CW609" s="1"/>
      <c r="CX609" s="1"/>
      <c r="CY609" s="1"/>
      <c r="CZ609" s="1"/>
    </row>
    <row r="610" spans="1:104" ht="14.25" customHeight="1">
      <c r="A610" s="1"/>
      <c r="B610" s="2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1"/>
      <c r="CA610" s="51"/>
      <c r="CB610" s="51"/>
      <c r="CC610" s="51"/>
      <c r="CD610" s="51"/>
      <c r="CE610" s="51"/>
      <c r="CF610" s="51"/>
      <c r="CG610" s="51"/>
      <c r="CH610" s="51"/>
      <c r="CI610" s="51"/>
      <c r="CJ610" s="51"/>
      <c r="CK610" s="51"/>
      <c r="CL610" s="51"/>
      <c r="CM610" s="51"/>
      <c r="CN610" s="51"/>
      <c r="CO610" s="51"/>
      <c r="CP610" s="51"/>
      <c r="CQ610" s="51"/>
      <c r="CR610" s="51"/>
      <c r="CS610" s="51"/>
      <c r="CT610" s="51"/>
      <c r="CU610" s="1"/>
      <c r="CV610" s="1"/>
      <c r="CW610" s="1"/>
      <c r="CX610" s="1"/>
      <c r="CY610" s="1"/>
      <c r="CZ610" s="1"/>
    </row>
    <row r="611" spans="1:104" ht="14.25" customHeight="1">
      <c r="A611" s="1"/>
      <c r="B611" s="2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1"/>
      <c r="CI611" s="51"/>
      <c r="CJ611" s="51"/>
      <c r="CK611" s="51"/>
      <c r="CL611" s="51"/>
      <c r="CM611" s="51"/>
      <c r="CN611" s="51"/>
      <c r="CO611" s="51"/>
      <c r="CP611" s="51"/>
      <c r="CQ611" s="51"/>
      <c r="CR611" s="51"/>
      <c r="CS611" s="51"/>
      <c r="CT611" s="51"/>
      <c r="CU611" s="1"/>
      <c r="CV611" s="1"/>
      <c r="CW611" s="1"/>
      <c r="CX611" s="1"/>
      <c r="CY611" s="1"/>
      <c r="CZ611" s="1"/>
    </row>
    <row r="612" spans="1:104" ht="14.25" customHeight="1">
      <c r="A612" s="1"/>
      <c r="B612" s="2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51"/>
      <c r="CC612" s="51"/>
      <c r="CD612" s="51"/>
      <c r="CE612" s="51"/>
      <c r="CF612" s="51"/>
      <c r="CG612" s="51"/>
      <c r="CH612" s="51"/>
      <c r="CI612" s="51"/>
      <c r="CJ612" s="51"/>
      <c r="CK612" s="51"/>
      <c r="CL612" s="51"/>
      <c r="CM612" s="51"/>
      <c r="CN612" s="51"/>
      <c r="CO612" s="51"/>
      <c r="CP612" s="51"/>
      <c r="CQ612" s="51"/>
      <c r="CR612" s="51"/>
      <c r="CS612" s="51"/>
      <c r="CT612" s="51"/>
      <c r="CU612" s="1"/>
      <c r="CV612" s="1"/>
      <c r="CW612" s="1"/>
      <c r="CX612" s="1"/>
      <c r="CY612" s="1"/>
      <c r="CZ612" s="1"/>
    </row>
    <row r="613" spans="1:104" ht="14.25" customHeight="1">
      <c r="A613" s="1"/>
      <c r="B613" s="2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  <c r="CC613" s="51"/>
      <c r="CD613" s="51"/>
      <c r="CE613" s="51"/>
      <c r="CF613" s="51"/>
      <c r="CG613" s="51"/>
      <c r="CH613" s="51"/>
      <c r="CI613" s="51"/>
      <c r="CJ613" s="51"/>
      <c r="CK613" s="51"/>
      <c r="CL613" s="51"/>
      <c r="CM613" s="51"/>
      <c r="CN613" s="51"/>
      <c r="CO613" s="51"/>
      <c r="CP613" s="51"/>
      <c r="CQ613" s="51"/>
      <c r="CR613" s="51"/>
      <c r="CS613" s="51"/>
      <c r="CT613" s="51"/>
      <c r="CU613" s="1"/>
      <c r="CV613" s="1"/>
      <c r="CW613" s="1"/>
      <c r="CX613" s="1"/>
      <c r="CY613" s="1"/>
      <c r="CZ613" s="1"/>
    </row>
    <row r="614" spans="1:104" ht="14.25" customHeight="1">
      <c r="A614" s="1"/>
      <c r="B614" s="2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  <c r="CC614" s="51"/>
      <c r="CD614" s="51"/>
      <c r="CE614" s="51"/>
      <c r="CF614" s="51"/>
      <c r="CG614" s="51"/>
      <c r="CH614" s="51"/>
      <c r="CI614" s="51"/>
      <c r="CJ614" s="51"/>
      <c r="CK614" s="51"/>
      <c r="CL614" s="51"/>
      <c r="CM614" s="51"/>
      <c r="CN614" s="51"/>
      <c r="CO614" s="51"/>
      <c r="CP614" s="51"/>
      <c r="CQ614" s="51"/>
      <c r="CR614" s="51"/>
      <c r="CS614" s="51"/>
      <c r="CT614" s="51"/>
      <c r="CU614" s="1"/>
      <c r="CV614" s="1"/>
      <c r="CW614" s="1"/>
      <c r="CX614" s="1"/>
      <c r="CY614" s="1"/>
      <c r="CZ614" s="1"/>
    </row>
    <row r="615" spans="1:104" ht="14.25" customHeight="1">
      <c r="A615" s="1"/>
      <c r="B615" s="2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  <c r="CC615" s="51"/>
      <c r="CD615" s="51"/>
      <c r="CE615" s="51"/>
      <c r="CF615" s="51"/>
      <c r="CG615" s="51"/>
      <c r="CH615" s="51"/>
      <c r="CI615" s="51"/>
      <c r="CJ615" s="51"/>
      <c r="CK615" s="51"/>
      <c r="CL615" s="51"/>
      <c r="CM615" s="51"/>
      <c r="CN615" s="51"/>
      <c r="CO615" s="51"/>
      <c r="CP615" s="51"/>
      <c r="CQ615" s="51"/>
      <c r="CR615" s="51"/>
      <c r="CS615" s="51"/>
      <c r="CT615" s="51"/>
      <c r="CU615" s="1"/>
      <c r="CV615" s="1"/>
      <c r="CW615" s="1"/>
      <c r="CX615" s="1"/>
      <c r="CY615" s="1"/>
      <c r="CZ615" s="1"/>
    </row>
    <row r="616" spans="1:104" ht="14.25" customHeight="1">
      <c r="A616" s="1"/>
      <c r="B616" s="2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51"/>
      <c r="CC616" s="51"/>
      <c r="CD616" s="51"/>
      <c r="CE616" s="51"/>
      <c r="CF616" s="51"/>
      <c r="CG616" s="51"/>
      <c r="CH616" s="51"/>
      <c r="CI616" s="51"/>
      <c r="CJ616" s="51"/>
      <c r="CK616" s="51"/>
      <c r="CL616" s="51"/>
      <c r="CM616" s="51"/>
      <c r="CN616" s="51"/>
      <c r="CO616" s="51"/>
      <c r="CP616" s="51"/>
      <c r="CQ616" s="51"/>
      <c r="CR616" s="51"/>
      <c r="CS616" s="51"/>
      <c r="CT616" s="51"/>
      <c r="CU616" s="1"/>
      <c r="CV616" s="1"/>
      <c r="CW616" s="1"/>
      <c r="CX616" s="1"/>
      <c r="CY616" s="1"/>
      <c r="CZ616" s="1"/>
    </row>
    <row r="617" spans="1:104" ht="14.25" customHeight="1">
      <c r="A617" s="1"/>
      <c r="B617" s="2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  <c r="CC617" s="51"/>
      <c r="CD617" s="51"/>
      <c r="CE617" s="51"/>
      <c r="CF617" s="51"/>
      <c r="CG617" s="51"/>
      <c r="CH617" s="51"/>
      <c r="CI617" s="51"/>
      <c r="CJ617" s="51"/>
      <c r="CK617" s="51"/>
      <c r="CL617" s="51"/>
      <c r="CM617" s="51"/>
      <c r="CN617" s="51"/>
      <c r="CO617" s="51"/>
      <c r="CP617" s="51"/>
      <c r="CQ617" s="51"/>
      <c r="CR617" s="51"/>
      <c r="CS617" s="51"/>
      <c r="CT617" s="51"/>
      <c r="CU617" s="1"/>
      <c r="CV617" s="1"/>
      <c r="CW617" s="1"/>
      <c r="CX617" s="1"/>
      <c r="CY617" s="1"/>
      <c r="CZ617" s="1"/>
    </row>
    <row r="618" spans="1:104" ht="14.25" customHeight="1">
      <c r="A618" s="1"/>
      <c r="B618" s="2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51"/>
      <c r="CC618" s="51"/>
      <c r="CD618" s="51"/>
      <c r="CE618" s="51"/>
      <c r="CF618" s="51"/>
      <c r="CG618" s="51"/>
      <c r="CH618" s="51"/>
      <c r="CI618" s="51"/>
      <c r="CJ618" s="51"/>
      <c r="CK618" s="51"/>
      <c r="CL618" s="51"/>
      <c r="CM618" s="51"/>
      <c r="CN618" s="51"/>
      <c r="CO618" s="51"/>
      <c r="CP618" s="51"/>
      <c r="CQ618" s="51"/>
      <c r="CR618" s="51"/>
      <c r="CS618" s="51"/>
      <c r="CT618" s="51"/>
      <c r="CU618" s="1"/>
      <c r="CV618" s="1"/>
      <c r="CW618" s="1"/>
      <c r="CX618" s="1"/>
      <c r="CY618" s="1"/>
      <c r="CZ618" s="1"/>
    </row>
    <row r="619" spans="1:104" ht="14.25" customHeight="1">
      <c r="A619" s="1"/>
      <c r="B619" s="2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51"/>
      <c r="CC619" s="51"/>
      <c r="CD619" s="51"/>
      <c r="CE619" s="51"/>
      <c r="CF619" s="51"/>
      <c r="CG619" s="51"/>
      <c r="CH619" s="51"/>
      <c r="CI619" s="51"/>
      <c r="CJ619" s="51"/>
      <c r="CK619" s="51"/>
      <c r="CL619" s="51"/>
      <c r="CM619" s="51"/>
      <c r="CN619" s="51"/>
      <c r="CO619" s="51"/>
      <c r="CP619" s="51"/>
      <c r="CQ619" s="51"/>
      <c r="CR619" s="51"/>
      <c r="CS619" s="51"/>
      <c r="CT619" s="51"/>
      <c r="CU619" s="1"/>
      <c r="CV619" s="1"/>
      <c r="CW619" s="1"/>
      <c r="CX619" s="1"/>
      <c r="CY619" s="1"/>
      <c r="CZ619" s="1"/>
    </row>
    <row r="620" spans="1:104" ht="14.25" customHeight="1">
      <c r="A620" s="1"/>
      <c r="B620" s="2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51"/>
      <c r="CC620" s="51"/>
      <c r="CD620" s="51"/>
      <c r="CE620" s="51"/>
      <c r="CF620" s="51"/>
      <c r="CG620" s="51"/>
      <c r="CH620" s="51"/>
      <c r="CI620" s="51"/>
      <c r="CJ620" s="51"/>
      <c r="CK620" s="51"/>
      <c r="CL620" s="51"/>
      <c r="CM620" s="51"/>
      <c r="CN620" s="51"/>
      <c r="CO620" s="51"/>
      <c r="CP620" s="51"/>
      <c r="CQ620" s="51"/>
      <c r="CR620" s="51"/>
      <c r="CS620" s="51"/>
      <c r="CT620" s="51"/>
      <c r="CU620" s="1"/>
      <c r="CV620" s="1"/>
      <c r="CW620" s="1"/>
      <c r="CX620" s="1"/>
      <c r="CY620" s="1"/>
      <c r="CZ620" s="1"/>
    </row>
    <row r="621" spans="1:104" ht="14.25" customHeight="1">
      <c r="A621" s="1"/>
      <c r="B621" s="2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51"/>
      <c r="CC621" s="51"/>
      <c r="CD621" s="51"/>
      <c r="CE621" s="51"/>
      <c r="CF621" s="51"/>
      <c r="CG621" s="51"/>
      <c r="CH621" s="51"/>
      <c r="CI621" s="51"/>
      <c r="CJ621" s="51"/>
      <c r="CK621" s="51"/>
      <c r="CL621" s="51"/>
      <c r="CM621" s="51"/>
      <c r="CN621" s="51"/>
      <c r="CO621" s="51"/>
      <c r="CP621" s="51"/>
      <c r="CQ621" s="51"/>
      <c r="CR621" s="51"/>
      <c r="CS621" s="51"/>
      <c r="CT621" s="51"/>
      <c r="CU621" s="1"/>
      <c r="CV621" s="1"/>
      <c r="CW621" s="1"/>
      <c r="CX621" s="1"/>
      <c r="CY621" s="1"/>
      <c r="CZ621" s="1"/>
    </row>
    <row r="622" spans="1:104" ht="14.25" customHeight="1">
      <c r="A622" s="1"/>
      <c r="B622" s="2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  <c r="CC622" s="51"/>
      <c r="CD622" s="51"/>
      <c r="CE622" s="51"/>
      <c r="CF622" s="51"/>
      <c r="CG622" s="51"/>
      <c r="CH622" s="51"/>
      <c r="CI622" s="51"/>
      <c r="CJ622" s="51"/>
      <c r="CK622" s="51"/>
      <c r="CL622" s="51"/>
      <c r="CM622" s="51"/>
      <c r="CN622" s="51"/>
      <c r="CO622" s="51"/>
      <c r="CP622" s="51"/>
      <c r="CQ622" s="51"/>
      <c r="CR622" s="51"/>
      <c r="CS622" s="51"/>
      <c r="CT622" s="51"/>
      <c r="CU622" s="1"/>
      <c r="CV622" s="1"/>
      <c r="CW622" s="1"/>
      <c r="CX622" s="1"/>
      <c r="CY622" s="1"/>
      <c r="CZ622" s="1"/>
    </row>
    <row r="623" spans="1:104" ht="14.25" customHeight="1">
      <c r="A623" s="1"/>
      <c r="B623" s="2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51"/>
      <c r="CC623" s="51"/>
      <c r="CD623" s="51"/>
      <c r="CE623" s="51"/>
      <c r="CF623" s="51"/>
      <c r="CG623" s="51"/>
      <c r="CH623" s="51"/>
      <c r="CI623" s="51"/>
      <c r="CJ623" s="51"/>
      <c r="CK623" s="51"/>
      <c r="CL623" s="51"/>
      <c r="CM623" s="51"/>
      <c r="CN623" s="51"/>
      <c r="CO623" s="51"/>
      <c r="CP623" s="51"/>
      <c r="CQ623" s="51"/>
      <c r="CR623" s="51"/>
      <c r="CS623" s="51"/>
      <c r="CT623" s="51"/>
      <c r="CU623" s="1"/>
      <c r="CV623" s="1"/>
      <c r="CW623" s="1"/>
      <c r="CX623" s="1"/>
      <c r="CY623" s="1"/>
      <c r="CZ623" s="1"/>
    </row>
    <row r="624" spans="1:104" ht="14.25" customHeight="1">
      <c r="A624" s="1"/>
      <c r="B624" s="2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51"/>
      <c r="CC624" s="51"/>
      <c r="CD624" s="51"/>
      <c r="CE624" s="51"/>
      <c r="CF624" s="51"/>
      <c r="CG624" s="51"/>
      <c r="CH624" s="51"/>
      <c r="CI624" s="51"/>
      <c r="CJ624" s="51"/>
      <c r="CK624" s="51"/>
      <c r="CL624" s="51"/>
      <c r="CM624" s="51"/>
      <c r="CN624" s="51"/>
      <c r="CO624" s="51"/>
      <c r="CP624" s="51"/>
      <c r="CQ624" s="51"/>
      <c r="CR624" s="51"/>
      <c r="CS624" s="51"/>
      <c r="CT624" s="51"/>
      <c r="CU624" s="1"/>
      <c r="CV624" s="1"/>
      <c r="CW624" s="1"/>
      <c r="CX624" s="1"/>
      <c r="CY624" s="1"/>
      <c r="CZ624" s="1"/>
    </row>
    <row r="625" spans="1:104" ht="14.25" customHeight="1">
      <c r="A625" s="1"/>
      <c r="B625" s="2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51"/>
      <c r="CB625" s="51"/>
      <c r="CC625" s="51"/>
      <c r="CD625" s="51"/>
      <c r="CE625" s="51"/>
      <c r="CF625" s="51"/>
      <c r="CG625" s="51"/>
      <c r="CH625" s="51"/>
      <c r="CI625" s="51"/>
      <c r="CJ625" s="51"/>
      <c r="CK625" s="51"/>
      <c r="CL625" s="51"/>
      <c r="CM625" s="51"/>
      <c r="CN625" s="51"/>
      <c r="CO625" s="51"/>
      <c r="CP625" s="51"/>
      <c r="CQ625" s="51"/>
      <c r="CR625" s="51"/>
      <c r="CS625" s="51"/>
      <c r="CT625" s="51"/>
      <c r="CU625" s="1"/>
      <c r="CV625" s="1"/>
      <c r="CW625" s="1"/>
      <c r="CX625" s="1"/>
      <c r="CY625" s="1"/>
      <c r="CZ625" s="1"/>
    </row>
    <row r="626" spans="1:104" ht="14.25" customHeight="1">
      <c r="A626" s="1"/>
      <c r="B626" s="2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1"/>
      <c r="CA626" s="51"/>
      <c r="CB626" s="51"/>
      <c r="CC626" s="51"/>
      <c r="CD626" s="51"/>
      <c r="CE626" s="51"/>
      <c r="CF626" s="51"/>
      <c r="CG626" s="51"/>
      <c r="CH626" s="51"/>
      <c r="CI626" s="51"/>
      <c r="CJ626" s="51"/>
      <c r="CK626" s="51"/>
      <c r="CL626" s="51"/>
      <c r="CM626" s="51"/>
      <c r="CN626" s="51"/>
      <c r="CO626" s="51"/>
      <c r="CP626" s="51"/>
      <c r="CQ626" s="51"/>
      <c r="CR626" s="51"/>
      <c r="CS626" s="51"/>
      <c r="CT626" s="51"/>
      <c r="CU626" s="1"/>
      <c r="CV626" s="1"/>
      <c r="CW626" s="1"/>
      <c r="CX626" s="1"/>
      <c r="CY626" s="1"/>
      <c r="CZ626" s="1"/>
    </row>
    <row r="627" spans="1:104" ht="14.25" customHeight="1">
      <c r="A627" s="1"/>
      <c r="B627" s="2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1"/>
      <c r="CA627" s="51"/>
      <c r="CB627" s="51"/>
      <c r="CC627" s="51"/>
      <c r="CD627" s="51"/>
      <c r="CE627" s="51"/>
      <c r="CF627" s="51"/>
      <c r="CG627" s="51"/>
      <c r="CH627" s="51"/>
      <c r="CI627" s="51"/>
      <c r="CJ627" s="51"/>
      <c r="CK627" s="51"/>
      <c r="CL627" s="51"/>
      <c r="CM627" s="51"/>
      <c r="CN627" s="51"/>
      <c r="CO627" s="51"/>
      <c r="CP627" s="51"/>
      <c r="CQ627" s="51"/>
      <c r="CR627" s="51"/>
      <c r="CS627" s="51"/>
      <c r="CT627" s="51"/>
      <c r="CU627" s="1"/>
      <c r="CV627" s="1"/>
      <c r="CW627" s="1"/>
      <c r="CX627" s="1"/>
      <c r="CY627" s="1"/>
      <c r="CZ627" s="1"/>
    </row>
    <row r="628" spans="1:104" ht="14.25" customHeight="1">
      <c r="A628" s="1"/>
      <c r="B628" s="2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1"/>
      <c r="CA628" s="51"/>
      <c r="CB628" s="51"/>
      <c r="CC628" s="51"/>
      <c r="CD628" s="51"/>
      <c r="CE628" s="51"/>
      <c r="CF628" s="51"/>
      <c r="CG628" s="51"/>
      <c r="CH628" s="51"/>
      <c r="CI628" s="51"/>
      <c r="CJ628" s="51"/>
      <c r="CK628" s="51"/>
      <c r="CL628" s="51"/>
      <c r="CM628" s="51"/>
      <c r="CN628" s="51"/>
      <c r="CO628" s="51"/>
      <c r="CP628" s="51"/>
      <c r="CQ628" s="51"/>
      <c r="CR628" s="51"/>
      <c r="CS628" s="51"/>
      <c r="CT628" s="51"/>
      <c r="CU628" s="1"/>
      <c r="CV628" s="1"/>
      <c r="CW628" s="1"/>
      <c r="CX628" s="1"/>
      <c r="CY628" s="1"/>
      <c r="CZ628" s="1"/>
    </row>
    <row r="629" spans="1:104" ht="14.25" customHeight="1">
      <c r="A629" s="1"/>
      <c r="B629" s="2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1"/>
      <c r="CA629" s="51"/>
      <c r="CB629" s="51"/>
      <c r="CC629" s="51"/>
      <c r="CD629" s="51"/>
      <c r="CE629" s="51"/>
      <c r="CF629" s="51"/>
      <c r="CG629" s="51"/>
      <c r="CH629" s="51"/>
      <c r="CI629" s="51"/>
      <c r="CJ629" s="51"/>
      <c r="CK629" s="51"/>
      <c r="CL629" s="51"/>
      <c r="CM629" s="51"/>
      <c r="CN629" s="51"/>
      <c r="CO629" s="51"/>
      <c r="CP629" s="51"/>
      <c r="CQ629" s="51"/>
      <c r="CR629" s="51"/>
      <c r="CS629" s="51"/>
      <c r="CT629" s="51"/>
      <c r="CU629" s="1"/>
      <c r="CV629" s="1"/>
      <c r="CW629" s="1"/>
      <c r="CX629" s="1"/>
      <c r="CY629" s="1"/>
      <c r="CZ629" s="1"/>
    </row>
    <row r="630" spans="1:104" ht="14.25" customHeight="1">
      <c r="A630" s="1"/>
      <c r="B630" s="2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1"/>
      <c r="CA630" s="51"/>
      <c r="CB630" s="51"/>
      <c r="CC630" s="51"/>
      <c r="CD630" s="51"/>
      <c r="CE630" s="51"/>
      <c r="CF630" s="51"/>
      <c r="CG630" s="51"/>
      <c r="CH630" s="51"/>
      <c r="CI630" s="51"/>
      <c r="CJ630" s="51"/>
      <c r="CK630" s="51"/>
      <c r="CL630" s="51"/>
      <c r="CM630" s="51"/>
      <c r="CN630" s="51"/>
      <c r="CO630" s="51"/>
      <c r="CP630" s="51"/>
      <c r="CQ630" s="51"/>
      <c r="CR630" s="51"/>
      <c r="CS630" s="51"/>
      <c r="CT630" s="51"/>
      <c r="CU630" s="1"/>
      <c r="CV630" s="1"/>
      <c r="CW630" s="1"/>
      <c r="CX630" s="1"/>
      <c r="CY630" s="1"/>
      <c r="CZ630" s="1"/>
    </row>
    <row r="631" spans="1:104" ht="14.25" customHeight="1">
      <c r="A631" s="1"/>
      <c r="B631" s="2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1"/>
      <c r="CA631" s="51"/>
      <c r="CB631" s="51"/>
      <c r="CC631" s="51"/>
      <c r="CD631" s="51"/>
      <c r="CE631" s="51"/>
      <c r="CF631" s="51"/>
      <c r="CG631" s="51"/>
      <c r="CH631" s="51"/>
      <c r="CI631" s="51"/>
      <c r="CJ631" s="51"/>
      <c r="CK631" s="51"/>
      <c r="CL631" s="51"/>
      <c r="CM631" s="51"/>
      <c r="CN631" s="51"/>
      <c r="CO631" s="51"/>
      <c r="CP631" s="51"/>
      <c r="CQ631" s="51"/>
      <c r="CR631" s="51"/>
      <c r="CS631" s="51"/>
      <c r="CT631" s="51"/>
      <c r="CU631" s="1"/>
      <c r="CV631" s="1"/>
      <c r="CW631" s="1"/>
      <c r="CX631" s="1"/>
      <c r="CY631" s="1"/>
      <c r="CZ631" s="1"/>
    </row>
    <row r="632" spans="1:104" ht="14.25" customHeight="1">
      <c r="A632" s="1"/>
      <c r="B632" s="2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  <c r="CC632" s="51"/>
      <c r="CD632" s="51"/>
      <c r="CE632" s="51"/>
      <c r="CF632" s="51"/>
      <c r="CG632" s="51"/>
      <c r="CH632" s="51"/>
      <c r="CI632" s="51"/>
      <c r="CJ632" s="51"/>
      <c r="CK632" s="51"/>
      <c r="CL632" s="51"/>
      <c r="CM632" s="51"/>
      <c r="CN632" s="51"/>
      <c r="CO632" s="51"/>
      <c r="CP632" s="51"/>
      <c r="CQ632" s="51"/>
      <c r="CR632" s="51"/>
      <c r="CS632" s="51"/>
      <c r="CT632" s="51"/>
      <c r="CU632" s="1"/>
      <c r="CV632" s="1"/>
      <c r="CW632" s="1"/>
      <c r="CX632" s="1"/>
      <c r="CY632" s="1"/>
      <c r="CZ632" s="1"/>
    </row>
    <row r="633" spans="1:104" ht="14.25" customHeight="1">
      <c r="A633" s="1"/>
      <c r="B633" s="2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  <c r="CC633" s="51"/>
      <c r="CD633" s="51"/>
      <c r="CE633" s="51"/>
      <c r="CF633" s="51"/>
      <c r="CG633" s="51"/>
      <c r="CH633" s="51"/>
      <c r="CI633" s="51"/>
      <c r="CJ633" s="51"/>
      <c r="CK633" s="51"/>
      <c r="CL633" s="51"/>
      <c r="CM633" s="51"/>
      <c r="CN633" s="51"/>
      <c r="CO633" s="51"/>
      <c r="CP633" s="51"/>
      <c r="CQ633" s="51"/>
      <c r="CR633" s="51"/>
      <c r="CS633" s="51"/>
      <c r="CT633" s="51"/>
      <c r="CU633" s="1"/>
      <c r="CV633" s="1"/>
      <c r="CW633" s="1"/>
      <c r="CX633" s="1"/>
      <c r="CY633" s="1"/>
      <c r="CZ633" s="1"/>
    </row>
    <row r="634" spans="1:104" ht="14.25" customHeight="1">
      <c r="A634" s="1"/>
      <c r="B634" s="2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1"/>
      <c r="CA634" s="51"/>
      <c r="CB634" s="51"/>
      <c r="CC634" s="51"/>
      <c r="CD634" s="51"/>
      <c r="CE634" s="51"/>
      <c r="CF634" s="51"/>
      <c r="CG634" s="51"/>
      <c r="CH634" s="51"/>
      <c r="CI634" s="51"/>
      <c r="CJ634" s="51"/>
      <c r="CK634" s="51"/>
      <c r="CL634" s="51"/>
      <c r="CM634" s="51"/>
      <c r="CN634" s="51"/>
      <c r="CO634" s="51"/>
      <c r="CP634" s="51"/>
      <c r="CQ634" s="51"/>
      <c r="CR634" s="51"/>
      <c r="CS634" s="51"/>
      <c r="CT634" s="51"/>
      <c r="CU634" s="1"/>
      <c r="CV634" s="1"/>
      <c r="CW634" s="1"/>
      <c r="CX634" s="1"/>
      <c r="CY634" s="1"/>
      <c r="CZ634" s="1"/>
    </row>
    <row r="635" spans="1:104" ht="14.25" customHeight="1">
      <c r="A635" s="1"/>
      <c r="B635" s="2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  <c r="CC635" s="51"/>
      <c r="CD635" s="51"/>
      <c r="CE635" s="51"/>
      <c r="CF635" s="51"/>
      <c r="CG635" s="51"/>
      <c r="CH635" s="51"/>
      <c r="CI635" s="51"/>
      <c r="CJ635" s="51"/>
      <c r="CK635" s="51"/>
      <c r="CL635" s="51"/>
      <c r="CM635" s="51"/>
      <c r="CN635" s="51"/>
      <c r="CO635" s="51"/>
      <c r="CP635" s="51"/>
      <c r="CQ635" s="51"/>
      <c r="CR635" s="51"/>
      <c r="CS635" s="51"/>
      <c r="CT635" s="51"/>
      <c r="CU635" s="1"/>
      <c r="CV635" s="1"/>
      <c r="CW635" s="1"/>
      <c r="CX635" s="1"/>
      <c r="CY635" s="1"/>
      <c r="CZ635" s="1"/>
    </row>
    <row r="636" spans="1:104" ht="14.25" customHeight="1">
      <c r="A636" s="1"/>
      <c r="B636" s="2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1"/>
      <c r="CA636" s="51"/>
      <c r="CB636" s="51"/>
      <c r="CC636" s="51"/>
      <c r="CD636" s="51"/>
      <c r="CE636" s="51"/>
      <c r="CF636" s="51"/>
      <c r="CG636" s="51"/>
      <c r="CH636" s="51"/>
      <c r="CI636" s="51"/>
      <c r="CJ636" s="51"/>
      <c r="CK636" s="51"/>
      <c r="CL636" s="51"/>
      <c r="CM636" s="51"/>
      <c r="CN636" s="51"/>
      <c r="CO636" s="51"/>
      <c r="CP636" s="51"/>
      <c r="CQ636" s="51"/>
      <c r="CR636" s="51"/>
      <c r="CS636" s="51"/>
      <c r="CT636" s="51"/>
      <c r="CU636" s="1"/>
      <c r="CV636" s="1"/>
      <c r="CW636" s="1"/>
      <c r="CX636" s="1"/>
      <c r="CY636" s="1"/>
      <c r="CZ636" s="1"/>
    </row>
    <row r="637" spans="1:104" ht="14.25" customHeight="1">
      <c r="A637" s="1"/>
      <c r="B637" s="2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1"/>
      <c r="CA637" s="51"/>
      <c r="CB637" s="51"/>
      <c r="CC637" s="51"/>
      <c r="CD637" s="51"/>
      <c r="CE637" s="51"/>
      <c r="CF637" s="51"/>
      <c r="CG637" s="51"/>
      <c r="CH637" s="51"/>
      <c r="CI637" s="51"/>
      <c r="CJ637" s="51"/>
      <c r="CK637" s="51"/>
      <c r="CL637" s="51"/>
      <c r="CM637" s="51"/>
      <c r="CN637" s="51"/>
      <c r="CO637" s="51"/>
      <c r="CP637" s="51"/>
      <c r="CQ637" s="51"/>
      <c r="CR637" s="51"/>
      <c r="CS637" s="51"/>
      <c r="CT637" s="51"/>
      <c r="CU637" s="1"/>
      <c r="CV637" s="1"/>
      <c r="CW637" s="1"/>
      <c r="CX637" s="1"/>
      <c r="CY637" s="1"/>
      <c r="CZ637" s="1"/>
    </row>
    <row r="638" spans="1:104" ht="14.25" customHeight="1">
      <c r="A638" s="1"/>
      <c r="B638" s="2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  <c r="CC638" s="51"/>
      <c r="CD638" s="51"/>
      <c r="CE638" s="51"/>
      <c r="CF638" s="51"/>
      <c r="CG638" s="51"/>
      <c r="CH638" s="51"/>
      <c r="CI638" s="51"/>
      <c r="CJ638" s="51"/>
      <c r="CK638" s="51"/>
      <c r="CL638" s="51"/>
      <c r="CM638" s="51"/>
      <c r="CN638" s="51"/>
      <c r="CO638" s="51"/>
      <c r="CP638" s="51"/>
      <c r="CQ638" s="51"/>
      <c r="CR638" s="51"/>
      <c r="CS638" s="51"/>
      <c r="CT638" s="51"/>
      <c r="CU638" s="1"/>
      <c r="CV638" s="1"/>
      <c r="CW638" s="1"/>
      <c r="CX638" s="1"/>
      <c r="CY638" s="1"/>
      <c r="CZ638" s="1"/>
    </row>
    <row r="639" spans="1:104" ht="14.25" customHeight="1">
      <c r="A639" s="1"/>
      <c r="B639" s="2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1"/>
      <c r="CA639" s="51"/>
      <c r="CB639" s="51"/>
      <c r="CC639" s="51"/>
      <c r="CD639" s="51"/>
      <c r="CE639" s="51"/>
      <c r="CF639" s="51"/>
      <c r="CG639" s="51"/>
      <c r="CH639" s="51"/>
      <c r="CI639" s="51"/>
      <c r="CJ639" s="51"/>
      <c r="CK639" s="51"/>
      <c r="CL639" s="51"/>
      <c r="CM639" s="51"/>
      <c r="CN639" s="51"/>
      <c r="CO639" s="51"/>
      <c r="CP639" s="51"/>
      <c r="CQ639" s="51"/>
      <c r="CR639" s="51"/>
      <c r="CS639" s="51"/>
      <c r="CT639" s="51"/>
      <c r="CU639" s="1"/>
      <c r="CV639" s="1"/>
      <c r="CW639" s="1"/>
      <c r="CX639" s="1"/>
      <c r="CY639" s="1"/>
      <c r="CZ639" s="1"/>
    </row>
    <row r="640" spans="1:104" ht="14.25" customHeight="1">
      <c r="A640" s="1"/>
      <c r="B640" s="2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1"/>
      <c r="CA640" s="51"/>
      <c r="CB640" s="51"/>
      <c r="CC640" s="51"/>
      <c r="CD640" s="51"/>
      <c r="CE640" s="51"/>
      <c r="CF640" s="51"/>
      <c r="CG640" s="51"/>
      <c r="CH640" s="51"/>
      <c r="CI640" s="51"/>
      <c r="CJ640" s="51"/>
      <c r="CK640" s="51"/>
      <c r="CL640" s="51"/>
      <c r="CM640" s="51"/>
      <c r="CN640" s="51"/>
      <c r="CO640" s="51"/>
      <c r="CP640" s="51"/>
      <c r="CQ640" s="51"/>
      <c r="CR640" s="51"/>
      <c r="CS640" s="51"/>
      <c r="CT640" s="51"/>
      <c r="CU640" s="1"/>
      <c r="CV640" s="1"/>
      <c r="CW640" s="1"/>
      <c r="CX640" s="1"/>
      <c r="CY640" s="1"/>
      <c r="CZ640" s="1"/>
    </row>
    <row r="641" spans="1:104" ht="14.25" customHeight="1">
      <c r="A641" s="1"/>
      <c r="B641" s="2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  <c r="CC641" s="51"/>
      <c r="CD641" s="51"/>
      <c r="CE641" s="51"/>
      <c r="CF641" s="51"/>
      <c r="CG641" s="51"/>
      <c r="CH641" s="51"/>
      <c r="CI641" s="51"/>
      <c r="CJ641" s="51"/>
      <c r="CK641" s="51"/>
      <c r="CL641" s="51"/>
      <c r="CM641" s="51"/>
      <c r="CN641" s="51"/>
      <c r="CO641" s="51"/>
      <c r="CP641" s="51"/>
      <c r="CQ641" s="51"/>
      <c r="CR641" s="51"/>
      <c r="CS641" s="51"/>
      <c r="CT641" s="51"/>
      <c r="CU641" s="1"/>
      <c r="CV641" s="1"/>
      <c r="CW641" s="1"/>
      <c r="CX641" s="1"/>
      <c r="CY641" s="1"/>
      <c r="CZ641" s="1"/>
    </row>
    <row r="642" spans="1:104" ht="14.25" customHeight="1">
      <c r="A642" s="1"/>
      <c r="B642" s="2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  <c r="CC642" s="51"/>
      <c r="CD642" s="51"/>
      <c r="CE642" s="51"/>
      <c r="CF642" s="51"/>
      <c r="CG642" s="51"/>
      <c r="CH642" s="51"/>
      <c r="CI642" s="51"/>
      <c r="CJ642" s="51"/>
      <c r="CK642" s="51"/>
      <c r="CL642" s="51"/>
      <c r="CM642" s="51"/>
      <c r="CN642" s="51"/>
      <c r="CO642" s="51"/>
      <c r="CP642" s="51"/>
      <c r="CQ642" s="51"/>
      <c r="CR642" s="51"/>
      <c r="CS642" s="51"/>
      <c r="CT642" s="51"/>
      <c r="CU642" s="1"/>
      <c r="CV642" s="1"/>
      <c r="CW642" s="1"/>
      <c r="CX642" s="1"/>
      <c r="CY642" s="1"/>
      <c r="CZ642" s="1"/>
    </row>
    <row r="643" spans="1:104" ht="14.25" customHeight="1">
      <c r="A643" s="1"/>
      <c r="B643" s="2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  <c r="CC643" s="51"/>
      <c r="CD643" s="51"/>
      <c r="CE643" s="51"/>
      <c r="CF643" s="51"/>
      <c r="CG643" s="51"/>
      <c r="CH643" s="51"/>
      <c r="CI643" s="51"/>
      <c r="CJ643" s="51"/>
      <c r="CK643" s="51"/>
      <c r="CL643" s="51"/>
      <c r="CM643" s="51"/>
      <c r="CN643" s="51"/>
      <c r="CO643" s="51"/>
      <c r="CP643" s="51"/>
      <c r="CQ643" s="51"/>
      <c r="CR643" s="51"/>
      <c r="CS643" s="51"/>
      <c r="CT643" s="51"/>
      <c r="CU643" s="1"/>
      <c r="CV643" s="1"/>
      <c r="CW643" s="1"/>
      <c r="CX643" s="1"/>
      <c r="CY643" s="1"/>
      <c r="CZ643" s="1"/>
    </row>
    <row r="644" spans="1:104" ht="14.25" customHeight="1">
      <c r="A644" s="1"/>
      <c r="B644" s="2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  <c r="CC644" s="51"/>
      <c r="CD644" s="51"/>
      <c r="CE644" s="51"/>
      <c r="CF644" s="51"/>
      <c r="CG644" s="51"/>
      <c r="CH644" s="51"/>
      <c r="CI644" s="51"/>
      <c r="CJ644" s="51"/>
      <c r="CK644" s="51"/>
      <c r="CL644" s="51"/>
      <c r="CM644" s="51"/>
      <c r="CN644" s="51"/>
      <c r="CO644" s="51"/>
      <c r="CP644" s="51"/>
      <c r="CQ644" s="51"/>
      <c r="CR644" s="51"/>
      <c r="CS644" s="51"/>
      <c r="CT644" s="51"/>
      <c r="CU644" s="1"/>
      <c r="CV644" s="1"/>
      <c r="CW644" s="1"/>
      <c r="CX644" s="1"/>
      <c r="CY644" s="1"/>
      <c r="CZ644" s="1"/>
    </row>
    <row r="645" spans="1:104" ht="14.25" customHeight="1">
      <c r="A645" s="1"/>
      <c r="B645" s="2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  <c r="CC645" s="51"/>
      <c r="CD645" s="51"/>
      <c r="CE645" s="51"/>
      <c r="CF645" s="51"/>
      <c r="CG645" s="51"/>
      <c r="CH645" s="51"/>
      <c r="CI645" s="51"/>
      <c r="CJ645" s="51"/>
      <c r="CK645" s="51"/>
      <c r="CL645" s="51"/>
      <c r="CM645" s="51"/>
      <c r="CN645" s="51"/>
      <c r="CO645" s="51"/>
      <c r="CP645" s="51"/>
      <c r="CQ645" s="51"/>
      <c r="CR645" s="51"/>
      <c r="CS645" s="51"/>
      <c r="CT645" s="51"/>
      <c r="CU645" s="1"/>
      <c r="CV645" s="1"/>
      <c r="CW645" s="1"/>
      <c r="CX645" s="1"/>
      <c r="CY645" s="1"/>
      <c r="CZ645" s="1"/>
    </row>
    <row r="646" spans="1:104" ht="14.25" customHeight="1">
      <c r="A646" s="1"/>
      <c r="B646" s="2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  <c r="CC646" s="51"/>
      <c r="CD646" s="51"/>
      <c r="CE646" s="51"/>
      <c r="CF646" s="51"/>
      <c r="CG646" s="51"/>
      <c r="CH646" s="51"/>
      <c r="CI646" s="51"/>
      <c r="CJ646" s="51"/>
      <c r="CK646" s="51"/>
      <c r="CL646" s="51"/>
      <c r="CM646" s="51"/>
      <c r="CN646" s="51"/>
      <c r="CO646" s="51"/>
      <c r="CP646" s="51"/>
      <c r="CQ646" s="51"/>
      <c r="CR646" s="51"/>
      <c r="CS646" s="51"/>
      <c r="CT646" s="51"/>
      <c r="CU646" s="1"/>
      <c r="CV646" s="1"/>
      <c r="CW646" s="1"/>
      <c r="CX646" s="1"/>
      <c r="CY646" s="1"/>
      <c r="CZ646" s="1"/>
    </row>
    <row r="647" spans="1:104" ht="14.25" customHeight="1">
      <c r="A647" s="1"/>
      <c r="B647" s="2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  <c r="CC647" s="51"/>
      <c r="CD647" s="51"/>
      <c r="CE647" s="51"/>
      <c r="CF647" s="51"/>
      <c r="CG647" s="51"/>
      <c r="CH647" s="51"/>
      <c r="CI647" s="51"/>
      <c r="CJ647" s="51"/>
      <c r="CK647" s="51"/>
      <c r="CL647" s="51"/>
      <c r="CM647" s="51"/>
      <c r="CN647" s="51"/>
      <c r="CO647" s="51"/>
      <c r="CP647" s="51"/>
      <c r="CQ647" s="51"/>
      <c r="CR647" s="51"/>
      <c r="CS647" s="51"/>
      <c r="CT647" s="51"/>
      <c r="CU647" s="1"/>
      <c r="CV647" s="1"/>
      <c r="CW647" s="1"/>
      <c r="CX647" s="1"/>
      <c r="CY647" s="1"/>
      <c r="CZ647" s="1"/>
    </row>
    <row r="648" spans="1:104" ht="14.25" customHeight="1">
      <c r="A648" s="1"/>
      <c r="B648" s="2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1"/>
      <c r="CA648" s="51"/>
      <c r="CB648" s="51"/>
      <c r="CC648" s="51"/>
      <c r="CD648" s="51"/>
      <c r="CE648" s="51"/>
      <c r="CF648" s="51"/>
      <c r="CG648" s="51"/>
      <c r="CH648" s="51"/>
      <c r="CI648" s="51"/>
      <c r="CJ648" s="51"/>
      <c r="CK648" s="51"/>
      <c r="CL648" s="51"/>
      <c r="CM648" s="51"/>
      <c r="CN648" s="51"/>
      <c r="CO648" s="51"/>
      <c r="CP648" s="51"/>
      <c r="CQ648" s="51"/>
      <c r="CR648" s="51"/>
      <c r="CS648" s="51"/>
      <c r="CT648" s="51"/>
      <c r="CU648" s="1"/>
      <c r="CV648" s="1"/>
      <c r="CW648" s="1"/>
      <c r="CX648" s="1"/>
      <c r="CY648" s="1"/>
      <c r="CZ648" s="1"/>
    </row>
    <row r="649" spans="1:104" ht="14.25" customHeight="1">
      <c r="A649" s="1"/>
      <c r="B649" s="2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1"/>
      <c r="CA649" s="51"/>
      <c r="CB649" s="51"/>
      <c r="CC649" s="51"/>
      <c r="CD649" s="51"/>
      <c r="CE649" s="51"/>
      <c r="CF649" s="51"/>
      <c r="CG649" s="51"/>
      <c r="CH649" s="51"/>
      <c r="CI649" s="51"/>
      <c r="CJ649" s="51"/>
      <c r="CK649" s="51"/>
      <c r="CL649" s="51"/>
      <c r="CM649" s="51"/>
      <c r="CN649" s="51"/>
      <c r="CO649" s="51"/>
      <c r="CP649" s="51"/>
      <c r="CQ649" s="51"/>
      <c r="CR649" s="51"/>
      <c r="CS649" s="51"/>
      <c r="CT649" s="51"/>
      <c r="CU649" s="1"/>
      <c r="CV649" s="1"/>
      <c r="CW649" s="1"/>
      <c r="CX649" s="1"/>
      <c r="CY649" s="1"/>
      <c r="CZ649" s="1"/>
    </row>
    <row r="650" spans="1:104" ht="14.25" customHeight="1">
      <c r="A650" s="1"/>
      <c r="B650" s="2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  <c r="CC650" s="51"/>
      <c r="CD650" s="51"/>
      <c r="CE650" s="51"/>
      <c r="CF650" s="51"/>
      <c r="CG650" s="51"/>
      <c r="CH650" s="51"/>
      <c r="CI650" s="51"/>
      <c r="CJ650" s="51"/>
      <c r="CK650" s="51"/>
      <c r="CL650" s="51"/>
      <c r="CM650" s="51"/>
      <c r="CN650" s="51"/>
      <c r="CO650" s="51"/>
      <c r="CP650" s="51"/>
      <c r="CQ650" s="51"/>
      <c r="CR650" s="51"/>
      <c r="CS650" s="51"/>
      <c r="CT650" s="51"/>
      <c r="CU650" s="1"/>
      <c r="CV650" s="1"/>
      <c r="CW650" s="1"/>
      <c r="CX650" s="1"/>
      <c r="CY650" s="1"/>
      <c r="CZ650" s="1"/>
    </row>
    <row r="651" spans="1:104" ht="14.25" customHeight="1">
      <c r="A651" s="1"/>
      <c r="B651" s="2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1"/>
      <c r="CA651" s="51"/>
      <c r="CB651" s="51"/>
      <c r="CC651" s="51"/>
      <c r="CD651" s="51"/>
      <c r="CE651" s="51"/>
      <c r="CF651" s="51"/>
      <c r="CG651" s="51"/>
      <c r="CH651" s="51"/>
      <c r="CI651" s="51"/>
      <c r="CJ651" s="51"/>
      <c r="CK651" s="51"/>
      <c r="CL651" s="51"/>
      <c r="CM651" s="51"/>
      <c r="CN651" s="51"/>
      <c r="CO651" s="51"/>
      <c r="CP651" s="51"/>
      <c r="CQ651" s="51"/>
      <c r="CR651" s="51"/>
      <c r="CS651" s="51"/>
      <c r="CT651" s="51"/>
      <c r="CU651" s="1"/>
      <c r="CV651" s="1"/>
      <c r="CW651" s="1"/>
      <c r="CX651" s="1"/>
      <c r="CY651" s="1"/>
      <c r="CZ651" s="1"/>
    </row>
    <row r="652" spans="1:104" ht="14.25" customHeight="1">
      <c r="A652" s="1"/>
      <c r="B652" s="2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1"/>
      <c r="CA652" s="51"/>
      <c r="CB652" s="51"/>
      <c r="CC652" s="51"/>
      <c r="CD652" s="51"/>
      <c r="CE652" s="51"/>
      <c r="CF652" s="51"/>
      <c r="CG652" s="51"/>
      <c r="CH652" s="51"/>
      <c r="CI652" s="51"/>
      <c r="CJ652" s="51"/>
      <c r="CK652" s="51"/>
      <c r="CL652" s="51"/>
      <c r="CM652" s="51"/>
      <c r="CN652" s="51"/>
      <c r="CO652" s="51"/>
      <c r="CP652" s="51"/>
      <c r="CQ652" s="51"/>
      <c r="CR652" s="51"/>
      <c r="CS652" s="51"/>
      <c r="CT652" s="51"/>
      <c r="CU652" s="1"/>
      <c r="CV652" s="1"/>
      <c r="CW652" s="1"/>
      <c r="CX652" s="1"/>
      <c r="CY652" s="1"/>
      <c r="CZ652" s="1"/>
    </row>
    <row r="653" spans="1:104" ht="14.25" customHeight="1">
      <c r="A653" s="1"/>
      <c r="B653" s="2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1"/>
      <c r="CA653" s="51"/>
      <c r="CB653" s="51"/>
      <c r="CC653" s="51"/>
      <c r="CD653" s="51"/>
      <c r="CE653" s="51"/>
      <c r="CF653" s="51"/>
      <c r="CG653" s="51"/>
      <c r="CH653" s="51"/>
      <c r="CI653" s="51"/>
      <c r="CJ653" s="51"/>
      <c r="CK653" s="51"/>
      <c r="CL653" s="51"/>
      <c r="CM653" s="51"/>
      <c r="CN653" s="51"/>
      <c r="CO653" s="51"/>
      <c r="CP653" s="51"/>
      <c r="CQ653" s="51"/>
      <c r="CR653" s="51"/>
      <c r="CS653" s="51"/>
      <c r="CT653" s="51"/>
      <c r="CU653" s="1"/>
      <c r="CV653" s="1"/>
      <c r="CW653" s="1"/>
      <c r="CX653" s="1"/>
      <c r="CY653" s="1"/>
      <c r="CZ653" s="1"/>
    </row>
    <row r="654" spans="1:104" ht="14.25" customHeight="1">
      <c r="A654" s="1"/>
      <c r="B654" s="2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1"/>
      <c r="CA654" s="51"/>
      <c r="CB654" s="51"/>
      <c r="CC654" s="51"/>
      <c r="CD654" s="51"/>
      <c r="CE654" s="51"/>
      <c r="CF654" s="51"/>
      <c r="CG654" s="51"/>
      <c r="CH654" s="51"/>
      <c r="CI654" s="51"/>
      <c r="CJ654" s="51"/>
      <c r="CK654" s="51"/>
      <c r="CL654" s="51"/>
      <c r="CM654" s="51"/>
      <c r="CN654" s="51"/>
      <c r="CO654" s="51"/>
      <c r="CP654" s="51"/>
      <c r="CQ654" s="51"/>
      <c r="CR654" s="51"/>
      <c r="CS654" s="51"/>
      <c r="CT654" s="51"/>
      <c r="CU654" s="1"/>
      <c r="CV654" s="1"/>
      <c r="CW654" s="1"/>
      <c r="CX654" s="1"/>
      <c r="CY654" s="1"/>
      <c r="CZ654" s="1"/>
    </row>
    <row r="655" spans="1:104" ht="14.25" customHeight="1">
      <c r="A655" s="1"/>
      <c r="B655" s="2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  <c r="CC655" s="51"/>
      <c r="CD655" s="51"/>
      <c r="CE655" s="51"/>
      <c r="CF655" s="51"/>
      <c r="CG655" s="51"/>
      <c r="CH655" s="51"/>
      <c r="CI655" s="51"/>
      <c r="CJ655" s="51"/>
      <c r="CK655" s="51"/>
      <c r="CL655" s="51"/>
      <c r="CM655" s="51"/>
      <c r="CN655" s="51"/>
      <c r="CO655" s="51"/>
      <c r="CP655" s="51"/>
      <c r="CQ655" s="51"/>
      <c r="CR655" s="51"/>
      <c r="CS655" s="51"/>
      <c r="CT655" s="51"/>
      <c r="CU655" s="1"/>
      <c r="CV655" s="1"/>
      <c r="CW655" s="1"/>
      <c r="CX655" s="1"/>
      <c r="CY655" s="1"/>
      <c r="CZ655" s="1"/>
    </row>
    <row r="656" spans="1:104" ht="14.25" customHeight="1">
      <c r="A656" s="1"/>
      <c r="B656" s="2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1"/>
      <c r="CA656" s="51"/>
      <c r="CB656" s="51"/>
      <c r="CC656" s="51"/>
      <c r="CD656" s="51"/>
      <c r="CE656" s="51"/>
      <c r="CF656" s="51"/>
      <c r="CG656" s="51"/>
      <c r="CH656" s="51"/>
      <c r="CI656" s="51"/>
      <c r="CJ656" s="51"/>
      <c r="CK656" s="51"/>
      <c r="CL656" s="51"/>
      <c r="CM656" s="51"/>
      <c r="CN656" s="51"/>
      <c r="CO656" s="51"/>
      <c r="CP656" s="51"/>
      <c r="CQ656" s="51"/>
      <c r="CR656" s="51"/>
      <c r="CS656" s="51"/>
      <c r="CT656" s="51"/>
      <c r="CU656" s="1"/>
      <c r="CV656" s="1"/>
      <c r="CW656" s="1"/>
      <c r="CX656" s="1"/>
      <c r="CY656" s="1"/>
      <c r="CZ656" s="1"/>
    </row>
    <row r="657" spans="1:104" ht="14.25" customHeight="1">
      <c r="A657" s="1"/>
      <c r="B657" s="2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1"/>
      <c r="CA657" s="51"/>
      <c r="CB657" s="51"/>
      <c r="CC657" s="51"/>
      <c r="CD657" s="51"/>
      <c r="CE657" s="51"/>
      <c r="CF657" s="51"/>
      <c r="CG657" s="51"/>
      <c r="CH657" s="51"/>
      <c r="CI657" s="51"/>
      <c r="CJ657" s="51"/>
      <c r="CK657" s="51"/>
      <c r="CL657" s="51"/>
      <c r="CM657" s="51"/>
      <c r="CN657" s="51"/>
      <c r="CO657" s="51"/>
      <c r="CP657" s="51"/>
      <c r="CQ657" s="51"/>
      <c r="CR657" s="51"/>
      <c r="CS657" s="51"/>
      <c r="CT657" s="51"/>
      <c r="CU657" s="1"/>
      <c r="CV657" s="1"/>
      <c r="CW657" s="1"/>
      <c r="CX657" s="1"/>
      <c r="CY657" s="1"/>
      <c r="CZ657" s="1"/>
    </row>
    <row r="658" spans="1:104" ht="14.25" customHeight="1">
      <c r="A658" s="1"/>
      <c r="B658" s="2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1"/>
      <c r="CA658" s="51"/>
      <c r="CB658" s="51"/>
      <c r="CC658" s="51"/>
      <c r="CD658" s="51"/>
      <c r="CE658" s="51"/>
      <c r="CF658" s="51"/>
      <c r="CG658" s="51"/>
      <c r="CH658" s="51"/>
      <c r="CI658" s="51"/>
      <c r="CJ658" s="51"/>
      <c r="CK658" s="51"/>
      <c r="CL658" s="51"/>
      <c r="CM658" s="51"/>
      <c r="CN658" s="51"/>
      <c r="CO658" s="51"/>
      <c r="CP658" s="51"/>
      <c r="CQ658" s="51"/>
      <c r="CR658" s="51"/>
      <c r="CS658" s="51"/>
      <c r="CT658" s="51"/>
      <c r="CU658" s="1"/>
      <c r="CV658" s="1"/>
      <c r="CW658" s="1"/>
      <c r="CX658" s="1"/>
      <c r="CY658" s="1"/>
      <c r="CZ658" s="1"/>
    </row>
    <row r="659" spans="1:104" ht="14.25" customHeight="1">
      <c r="A659" s="1"/>
      <c r="B659" s="2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1"/>
      <c r="CA659" s="51"/>
      <c r="CB659" s="51"/>
      <c r="CC659" s="51"/>
      <c r="CD659" s="51"/>
      <c r="CE659" s="51"/>
      <c r="CF659" s="51"/>
      <c r="CG659" s="51"/>
      <c r="CH659" s="51"/>
      <c r="CI659" s="51"/>
      <c r="CJ659" s="51"/>
      <c r="CK659" s="51"/>
      <c r="CL659" s="51"/>
      <c r="CM659" s="51"/>
      <c r="CN659" s="51"/>
      <c r="CO659" s="51"/>
      <c r="CP659" s="51"/>
      <c r="CQ659" s="51"/>
      <c r="CR659" s="51"/>
      <c r="CS659" s="51"/>
      <c r="CT659" s="51"/>
      <c r="CU659" s="1"/>
      <c r="CV659" s="1"/>
      <c r="CW659" s="1"/>
      <c r="CX659" s="1"/>
      <c r="CY659" s="1"/>
      <c r="CZ659" s="1"/>
    </row>
    <row r="660" spans="1:104" ht="14.25" customHeight="1">
      <c r="A660" s="1"/>
      <c r="B660" s="2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  <c r="CC660" s="51"/>
      <c r="CD660" s="51"/>
      <c r="CE660" s="51"/>
      <c r="CF660" s="51"/>
      <c r="CG660" s="51"/>
      <c r="CH660" s="51"/>
      <c r="CI660" s="51"/>
      <c r="CJ660" s="51"/>
      <c r="CK660" s="51"/>
      <c r="CL660" s="51"/>
      <c r="CM660" s="51"/>
      <c r="CN660" s="51"/>
      <c r="CO660" s="51"/>
      <c r="CP660" s="51"/>
      <c r="CQ660" s="51"/>
      <c r="CR660" s="51"/>
      <c r="CS660" s="51"/>
      <c r="CT660" s="51"/>
      <c r="CU660" s="1"/>
      <c r="CV660" s="1"/>
      <c r="CW660" s="1"/>
      <c r="CX660" s="1"/>
      <c r="CY660" s="1"/>
      <c r="CZ660" s="1"/>
    </row>
    <row r="661" spans="1:104" ht="14.25" customHeight="1">
      <c r="A661" s="1"/>
      <c r="B661" s="2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1"/>
      <c r="CA661" s="51"/>
      <c r="CB661" s="51"/>
      <c r="CC661" s="51"/>
      <c r="CD661" s="51"/>
      <c r="CE661" s="51"/>
      <c r="CF661" s="51"/>
      <c r="CG661" s="51"/>
      <c r="CH661" s="51"/>
      <c r="CI661" s="51"/>
      <c r="CJ661" s="51"/>
      <c r="CK661" s="51"/>
      <c r="CL661" s="51"/>
      <c r="CM661" s="51"/>
      <c r="CN661" s="51"/>
      <c r="CO661" s="51"/>
      <c r="CP661" s="51"/>
      <c r="CQ661" s="51"/>
      <c r="CR661" s="51"/>
      <c r="CS661" s="51"/>
      <c r="CT661" s="51"/>
      <c r="CU661" s="1"/>
      <c r="CV661" s="1"/>
      <c r="CW661" s="1"/>
      <c r="CX661" s="1"/>
      <c r="CY661" s="1"/>
      <c r="CZ661" s="1"/>
    </row>
    <row r="662" spans="1:104" ht="14.25" customHeight="1">
      <c r="A662" s="1"/>
      <c r="B662" s="2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1"/>
      <c r="CA662" s="51"/>
      <c r="CB662" s="51"/>
      <c r="CC662" s="51"/>
      <c r="CD662" s="51"/>
      <c r="CE662" s="51"/>
      <c r="CF662" s="51"/>
      <c r="CG662" s="51"/>
      <c r="CH662" s="51"/>
      <c r="CI662" s="51"/>
      <c r="CJ662" s="51"/>
      <c r="CK662" s="51"/>
      <c r="CL662" s="51"/>
      <c r="CM662" s="51"/>
      <c r="CN662" s="51"/>
      <c r="CO662" s="51"/>
      <c r="CP662" s="51"/>
      <c r="CQ662" s="51"/>
      <c r="CR662" s="51"/>
      <c r="CS662" s="51"/>
      <c r="CT662" s="51"/>
      <c r="CU662" s="1"/>
      <c r="CV662" s="1"/>
      <c r="CW662" s="1"/>
      <c r="CX662" s="1"/>
      <c r="CY662" s="1"/>
      <c r="CZ662" s="1"/>
    </row>
    <row r="663" spans="1:104" ht="14.25" customHeight="1">
      <c r="A663" s="1"/>
      <c r="B663" s="2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1"/>
      <c r="CA663" s="51"/>
      <c r="CB663" s="51"/>
      <c r="CC663" s="51"/>
      <c r="CD663" s="51"/>
      <c r="CE663" s="51"/>
      <c r="CF663" s="51"/>
      <c r="CG663" s="51"/>
      <c r="CH663" s="51"/>
      <c r="CI663" s="51"/>
      <c r="CJ663" s="51"/>
      <c r="CK663" s="51"/>
      <c r="CL663" s="51"/>
      <c r="CM663" s="51"/>
      <c r="CN663" s="51"/>
      <c r="CO663" s="51"/>
      <c r="CP663" s="51"/>
      <c r="CQ663" s="51"/>
      <c r="CR663" s="51"/>
      <c r="CS663" s="51"/>
      <c r="CT663" s="51"/>
      <c r="CU663" s="1"/>
      <c r="CV663" s="1"/>
      <c r="CW663" s="1"/>
      <c r="CX663" s="1"/>
      <c r="CY663" s="1"/>
      <c r="CZ663" s="1"/>
    </row>
    <row r="664" spans="1:104" ht="14.25" customHeight="1">
      <c r="A664" s="1"/>
      <c r="B664" s="2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1"/>
      <c r="CA664" s="51"/>
      <c r="CB664" s="51"/>
      <c r="CC664" s="51"/>
      <c r="CD664" s="51"/>
      <c r="CE664" s="51"/>
      <c r="CF664" s="51"/>
      <c r="CG664" s="51"/>
      <c r="CH664" s="51"/>
      <c r="CI664" s="51"/>
      <c r="CJ664" s="51"/>
      <c r="CK664" s="51"/>
      <c r="CL664" s="51"/>
      <c r="CM664" s="51"/>
      <c r="CN664" s="51"/>
      <c r="CO664" s="51"/>
      <c r="CP664" s="51"/>
      <c r="CQ664" s="51"/>
      <c r="CR664" s="51"/>
      <c r="CS664" s="51"/>
      <c r="CT664" s="51"/>
      <c r="CU664" s="1"/>
      <c r="CV664" s="1"/>
      <c r="CW664" s="1"/>
      <c r="CX664" s="1"/>
      <c r="CY664" s="1"/>
      <c r="CZ664" s="1"/>
    </row>
    <row r="665" spans="1:104" ht="14.25" customHeight="1">
      <c r="A665" s="1"/>
      <c r="B665" s="2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  <c r="CC665" s="51"/>
      <c r="CD665" s="51"/>
      <c r="CE665" s="51"/>
      <c r="CF665" s="51"/>
      <c r="CG665" s="51"/>
      <c r="CH665" s="51"/>
      <c r="CI665" s="51"/>
      <c r="CJ665" s="51"/>
      <c r="CK665" s="51"/>
      <c r="CL665" s="51"/>
      <c r="CM665" s="51"/>
      <c r="CN665" s="51"/>
      <c r="CO665" s="51"/>
      <c r="CP665" s="51"/>
      <c r="CQ665" s="51"/>
      <c r="CR665" s="51"/>
      <c r="CS665" s="51"/>
      <c r="CT665" s="51"/>
      <c r="CU665" s="1"/>
      <c r="CV665" s="1"/>
      <c r="CW665" s="1"/>
      <c r="CX665" s="1"/>
      <c r="CY665" s="1"/>
      <c r="CZ665" s="1"/>
    </row>
    <row r="666" spans="1:104" ht="14.25" customHeight="1">
      <c r="A666" s="1"/>
      <c r="B666" s="2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  <c r="CC666" s="51"/>
      <c r="CD666" s="51"/>
      <c r="CE666" s="51"/>
      <c r="CF666" s="51"/>
      <c r="CG666" s="51"/>
      <c r="CH666" s="51"/>
      <c r="CI666" s="51"/>
      <c r="CJ666" s="51"/>
      <c r="CK666" s="51"/>
      <c r="CL666" s="51"/>
      <c r="CM666" s="51"/>
      <c r="CN666" s="51"/>
      <c r="CO666" s="51"/>
      <c r="CP666" s="51"/>
      <c r="CQ666" s="51"/>
      <c r="CR666" s="51"/>
      <c r="CS666" s="51"/>
      <c r="CT666" s="51"/>
      <c r="CU666" s="1"/>
      <c r="CV666" s="1"/>
      <c r="CW666" s="1"/>
      <c r="CX666" s="1"/>
      <c r="CY666" s="1"/>
      <c r="CZ666" s="1"/>
    </row>
    <row r="667" spans="1:104" ht="14.25" customHeight="1">
      <c r="A667" s="1"/>
      <c r="B667" s="2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1"/>
      <c r="CA667" s="51"/>
      <c r="CB667" s="51"/>
      <c r="CC667" s="51"/>
      <c r="CD667" s="51"/>
      <c r="CE667" s="51"/>
      <c r="CF667" s="51"/>
      <c r="CG667" s="51"/>
      <c r="CH667" s="51"/>
      <c r="CI667" s="51"/>
      <c r="CJ667" s="51"/>
      <c r="CK667" s="51"/>
      <c r="CL667" s="51"/>
      <c r="CM667" s="51"/>
      <c r="CN667" s="51"/>
      <c r="CO667" s="51"/>
      <c r="CP667" s="51"/>
      <c r="CQ667" s="51"/>
      <c r="CR667" s="51"/>
      <c r="CS667" s="51"/>
      <c r="CT667" s="51"/>
      <c r="CU667" s="1"/>
      <c r="CV667" s="1"/>
      <c r="CW667" s="1"/>
      <c r="CX667" s="1"/>
      <c r="CY667" s="1"/>
      <c r="CZ667" s="1"/>
    </row>
    <row r="668" spans="1:104" ht="14.25" customHeight="1">
      <c r="A668" s="1"/>
      <c r="B668" s="2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  <c r="CC668" s="51"/>
      <c r="CD668" s="51"/>
      <c r="CE668" s="51"/>
      <c r="CF668" s="51"/>
      <c r="CG668" s="51"/>
      <c r="CH668" s="51"/>
      <c r="CI668" s="51"/>
      <c r="CJ668" s="51"/>
      <c r="CK668" s="51"/>
      <c r="CL668" s="51"/>
      <c r="CM668" s="51"/>
      <c r="CN668" s="51"/>
      <c r="CO668" s="51"/>
      <c r="CP668" s="51"/>
      <c r="CQ668" s="51"/>
      <c r="CR668" s="51"/>
      <c r="CS668" s="51"/>
      <c r="CT668" s="51"/>
      <c r="CU668" s="1"/>
      <c r="CV668" s="1"/>
      <c r="CW668" s="1"/>
      <c r="CX668" s="1"/>
      <c r="CY668" s="1"/>
      <c r="CZ668" s="1"/>
    </row>
    <row r="669" spans="1:104" ht="14.25" customHeight="1">
      <c r="A669" s="1"/>
      <c r="B669" s="2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1"/>
      <c r="CA669" s="51"/>
      <c r="CB669" s="51"/>
      <c r="CC669" s="51"/>
      <c r="CD669" s="51"/>
      <c r="CE669" s="51"/>
      <c r="CF669" s="51"/>
      <c r="CG669" s="51"/>
      <c r="CH669" s="51"/>
      <c r="CI669" s="51"/>
      <c r="CJ669" s="51"/>
      <c r="CK669" s="51"/>
      <c r="CL669" s="51"/>
      <c r="CM669" s="51"/>
      <c r="CN669" s="51"/>
      <c r="CO669" s="51"/>
      <c r="CP669" s="51"/>
      <c r="CQ669" s="51"/>
      <c r="CR669" s="51"/>
      <c r="CS669" s="51"/>
      <c r="CT669" s="51"/>
      <c r="CU669" s="1"/>
      <c r="CV669" s="1"/>
      <c r="CW669" s="1"/>
      <c r="CX669" s="1"/>
      <c r="CY669" s="1"/>
      <c r="CZ669" s="1"/>
    </row>
    <row r="670" spans="1:104" ht="14.25" customHeight="1">
      <c r="A670" s="1"/>
      <c r="B670" s="2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1"/>
      <c r="CA670" s="51"/>
      <c r="CB670" s="51"/>
      <c r="CC670" s="51"/>
      <c r="CD670" s="51"/>
      <c r="CE670" s="51"/>
      <c r="CF670" s="51"/>
      <c r="CG670" s="51"/>
      <c r="CH670" s="51"/>
      <c r="CI670" s="51"/>
      <c r="CJ670" s="51"/>
      <c r="CK670" s="51"/>
      <c r="CL670" s="51"/>
      <c r="CM670" s="51"/>
      <c r="CN670" s="51"/>
      <c r="CO670" s="51"/>
      <c r="CP670" s="51"/>
      <c r="CQ670" s="51"/>
      <c r="CR670" s="51"/>
      <c r="CS670" s="51"/>
      <c r="CT670" s="51"/>
      <c r="CU670" s="1"/>
      <c r="CV670" s="1"/>
      <c r="CW670" s="1"/>
      <c r="CX670" s="1"/>
      <c r="CY670" s="1"/>
      <c r="CZ670" s="1"/>
    </row>
    <row r="671" spans="1:104" ht="14.25" customHeight="1">
      <c r="A671" s="1"/>
      <c r="B671" s="2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  <c r="CC671" s="51"/>
      <c r="CD671" s="51"/>
      <c r="CE671" s="51"/>
      <c r="CF671" s="51"/>
      <c r="CG671" s="51"/>
      <c r="CH671" s="51"/>
      <c r="CI671" s="51"/>
      <c r="CJ671" s="51"/>
      <c r="CK671" s="51"/>
      <c r="CL671" s="51"/>
      <c r="CM671" s="51"/>
      <c r="CN671" s="51"/>
      <c r="CO671" s="51"/>
      <c r="CP671" s="51"/>
      <c r="CQ671" s="51"/>
      <c r="CR671" s="51"/>
      <c r="CS671" s="51"/>
      <c r="CT671" s="51"/>
      <c r="CU671" s="1"/>
      <c r="CV671" s="1"/>
      <c r="CW671" s="1"/>
      <c r="CX671" s="1"/>
      <c r="CY671" s="1"/>
      <c r="CZ671" s="1"/>
    </row>
    <row r="672" spans="1:104" ht="14.25" customHeight="1">
      <c r="A672" s="1"/>
      <c r="B672" s="2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1"/>
      <c r="CA672" s="51"/>
      <c r="CB672" s="51"/>
      <c r="CC672" s="51"/>
      <c r="CD672" s="51"/>
      <c r="CE672" s="51"/>
      <c r="CF672" s="51"/>
      <c r="CG672" s="51"/>
      <c r="CH672" s="51"/>
      <c r="CI672" s="51"/>
      <c r="CJ672" s="51"/>
      <c r="CK672" s="51"/>
      <c r="CL672" s="51"/>
      <c r="CM672" s="51"/>
      <c r="CN672" s="51"/>
      <c r="CO672" s="51"/>
      <c r="CP672" s="51"/>
      <c r="CQ672" s="51"/>
      <c r="CR672" s="51"/>
      <c r="CS672" s="51"/>
      <c r="CT672" s="51"/>
      <c r="CU672" s="1"/>
      <c r="CV672" s="1"/>
      <c r="CW672" s="1"/>
      <c r="CX672" s="1"/>
      <c r="CY672" s="1"/>
      <c r="CZ672" s="1"/>
    </row>
    <row r="673" spans="1:104" ht="14.25" customHeight="1">
      <c r="A673" s="1"/>
      <c r="B673" s="2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1"/>
      <c r="CA673" s="51"/>
      <c r="CB673" s="51"/>
      <c r="CC673" s="51"/>
      <c r="CD673" s="51"/>
      <c r="CE673" s="51"/>
      <c r="CF673" s="51"/>
      <c r="CG673" s="51"/>
      <c r="CH673" s="51"/>
      <c r="CI673" s="51"/>
      <c r="CJ673" s="51"/>
      <c r="CK673" s="51"/>
      <c r="CL673" s="51"/>
      <c r="CM673" s="51"/>
      <c r="CN673" s="51"/>
      <c r="CO673" s="51"/>
      <c r="CP673" s="51"/>
      <c r="CQ673" s="51"/>
      <c r="CR673" s="51"/>
      <c r="CS673" s="51"/>
      <c r="CT673" s="51"/>
      <c r="CU673" s="1"/>
      <c r="CV673" s="1"/>
      <c r="CW673" s="1"/>
      <c r="CX673" s="1"/>
      <c r="CY673" s="1"/>
      <c r="CZ673" s="1"/>
    </row>
    <row r="674" spans="1:104" ht="14.25" customHeight="1">
      <c r="A674" s="1"/>
      <c r="B674" s="2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1"/>
      <c r="CA674" s="51"/>
      <c r="CB674" s="51"/>
      <c r="CC674" s="51"/>
      <c r="CD674" s="51"/>
      <c r="CE674" s="51"/>
      <c r="CF674" s="51"/>
      <c r="CG674" s="51"/>
      <c r="CH674" s="51"/>
      <c r="CI674" s="51"/>
      <c r="CJ674" s="51"/>
      <c r="CK674" s="51"/>
      <c r="CL674" s="51"/>
      <c r="CM674" s="51"/>
      <c r="CN674" s="51"/>
      <c r="CO674" s="51"/>
      <c r="CP674" s="51"/>
      <c r="CQ674" s="51"/>
      <c r="CR674" s="51"/>
      <c r="CS674" s="51"/>
      <c r="CT674" s="51"/>
      <c r="CU674" s="1"/>
      <c r="CV674" s="1"/>
      <c r="CW674" s="1"/>
      <c r="CX674" s="1"/>
      <c r="CY674" s="1"/>
      <c r="CZ674" s="1"/>
    </row>
    <row r="675" spans="1:104" ht="14.25" customHeight="1">
      <c r="A675" s="1"/>
      <c r="B675" s="2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1"/>
      <c r="CA675" s="51"/>
      <c r="CB675" s="51"/>
      <c r="CC675" s="51"/>
      <c r="CD675" s="51"/>
      <c r="CE675" s="51"/>
      <c r="CF675" s="51"/>
      <c r="CG675" s="51"/>
      <c r="CH675" s="51"/>
      <c r="CI675" s="51"/>
      <c r="CJ675" s="51"/>
      <c r="CK675" s="51"/>
      <c r="CL675" s="51"/>
      <c r="CM675" s="51"/>
      <c r="CN675" s="51"/>
      <c r="CO675" s="51"/>
      <c r="CP675" s="51"/>
      <c r="CQ675" s="51"/>
      <c r="CR675" s="51"/>
      <c r="CS675" s="51"/>
      <c r="CT675" s="51"/>
      <c r="CU675" s="1"/>
      <c r="CV675" s="1"/>
      <c r="CW675" s="1"/>
      <c r="CX675" s="1"/>
      <c r="CY675" s="1"/>
      <c r="CZ675" s="1"/>
    </row>
    <row r="676" spans="1:104" ht="14.25" customHeight="1">
      <c r="A676" s="1"/>
      <c r="B676" s="2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1"/>
      <c r="CA676" s="51"/>
      <c r="CB676" s="51"/>
      <c r="CC676" s="51"/>
      <c r="CD676" s="51"/>
      <c r="CE676" s="51"/>
      <c r="CF676" s="51"/>
      <c r="CG676" s="51"/>
      <c r="CH676" s="51"/>
      <c r="CI676" s="51"/>
      <c r="CJ676" s="51"/>
      <c r="CK676" s="51"/>
      <c r="CL676" s="51"/>
      <c r="CM676" s="51"/>
      <c r="CN676" s="51"/>
      <c r="CO676" s="51"/>
      <c r="CP676" s="51"/>
      <c r="CQ676" s="51"/>
      <c r="CR676" s="51"/>
      <c r="CS676" s="51"/>
      <c r="CT676" s="51"/>
      <c r="CU676" s="1"/>
      <c r="CV676" s="1"/>
      <c r="CW676" s="1"/>
      <c r="CX676" s="1"/>
      <c r="CY676" s="1"/>
      <c r="CZ676" s="1"/>
    </row>
    <row r="677" spans="1:104" ht="14.25" customHeight="1">
      <c r="A677" s="1"/>
      <c r="B677" s="2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  <c r="CC677" s="51"/>
      <c r="CD677" s="51"/>
      <c r="CE677" s="51"/>
      <c r="CF677" s="51"/>
      <c r="CG677" s="51"/>
      <c r="CH677" s="51"/>
      <c r="CI677" s="51"/>
      <c r="CJ677" s="51"/>
      <c r="CK677" s="51"/>
      <c r="CL677" s="51"/>
      <c r="CM677" s="51"/>
      <c r="CN677" s="51"/>
      <c r="CO677" s="51"/>
      <c r="CP677" s="51"/>
      <c r="CQ677" s="51"/>
      <c r="CR677" s="51"/>
      <c r="CS677" s="51"/>
      <c r="CT677" s="51"/>
      <c r="CU677" s="1"/>
      <c r="CV677" s="1"/>
      <c r="CW677" s="1"/>
      <c r="CX677" s="1"/>
      <c r="CY677" s="1"/>
      <c r="CZ677" s="1"/>
    </row>
    <row r="678" spans="1:104" ht="14.25" customHeight="1">
      <c r="A678" s="1"/>
      <c r="B678" s="2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1"/>
      <c r="CA678" s="51"/>
      <c r="CB678" s="51"/>
      <c r="CC678" s="51"/>
      <c r="CD678" s="51"/>
      <c r="CE678" s="51"/>
      <c r="CF678" s="51"/>
      <c r="CG678" s="51"/>
      <c r="CH678" s="51"/>
      <c r="CI678" s="51"/>
      <c r="CJ678" s="51"/>
      <c r="CK678" s="51"/>
      <c r="CL678" s="51"/>
      <c r="CM678" s="51"/>
      <c r="CN678" s="51"/>
      <c r="CO678" s="51"/>
      <c r="CP678" s="51"/>
      <c r="CQ678" s="51"/>
      <c r="CR678" s="51"/>
      <c r="CS678" s="51"/>
      <c r="CT678" s="51"/>
      <c r="CU678" s="1"/>
      <c r="CV678" s="1"/>
      <c r="CW678" s="1"/>
      <c r="CX678" s="1"/>
      <c r="CY678" s="1"/>
      <c r="CZ678" s="1"/>
    </row>
    <row r="679" spans="1:104" ht="14.25" customHeight="1">
      <c r="A679" s="1"/>
      <c r="B679" s="2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1"/>
      <c r="CA679" s="51"/>
      <c r="CB679" s="51"/>
      <c r="CC679" s="51"/>
      <c r="CD679" s="51"/>
      <c r="CE679" s="51"/>
      <c r="CF679" s="51"/>
      <c r="CG679" s="51"/>
      <c r="CH679" s="51"/>
      <c r="CI679" s="51"/>
      <c r="CJ679" s="51"/>
      <c r="CK679" s="51"/>
      <c r="CL679" s="51"/>
      <c r="CM679" s="51"/>
      <c r="CN679" s="51"/>
      <c r="CO679" s="51"/>
      <c r="CP679" s="51"/>
      <c r="CQ679" s="51"/>
      <c r="CR679" s="51"/>
      <c r="CS679" s="51"/>
      <c r="CT679" s="51"/>
      <c r="CU679" s="1"/>
      <c r="CV679" s="1"/>
      <c r="CW679" s="1"/>
      <c r="CX679" s="1"/>
      <c r="CY679" s="1"/>
      <c r="CZ679" s="1"/>
    </row>
    <row r="680" spans="1:104" ht="14.25" customHeight="1">
      <c r="A680" s="1"/>
      <c r="B680" s="2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  <c r="CC680" s="51"/>
      <c r="CD680" s="51"/>
      <c r="CE680" s="51"/>
      <c r="CF680" s="51"/>
      <c r="CG680" s="51"/>
      <c r="CH680" s="51"/>
      <c r="CI680" s="51"/>
      <c r="CJ680" s="51"/>
      <c r="CK680" s="51"/>
      <c r="CL680" s="51"/>
      <c r="CM680" s="51"/>
      <c r="CN680" s="51"/>
      <c r="CO680" s="51"/>
      <c r="CP680" s="51"/>
      <c r="CQ680" s="51"/>
      <c r="CR680" s="51"/>
      <c r="CS680" s="51"/>
      <c r="CT680" s="51"/>
      <c r="CU680" s="1"/>
      <c r="CV680" s="1"/>
      <c r="CW680" s="1"/>
      <c r="CX680" s="1"/>
      <c r="CY680" s="1"/>
      <c r="CZ680" s="1"/>
    </row>
    <row r="681" spans="1:104" ht="14.25" customHeight="1">
      <c r="A681" s="1"/>
      <c r="B681" s="2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1"/>
      <c r="CA681" s="51"/>
      <c r="CB681" s="51"/>
      <c r="CC681" s="51"/>
      <c r="CD681" s="51"/>
      <c r="CE681" s="51"/>
      <c r="CF681" s="51"/>
      <c r="CG681" s="51"/>
      <c r="CH681" s="51"/>
      <c r="CI681" s="51"/>
      <c r="CJ681" s="51"/>
      <c r="CK681" s="51"/>
      <c r="CL681" s="51"/>
      <c r="CM681" s="51"/>
      <c r="CN681" s="51"/>
      <c r="CO681" s="51"/>
      <c r="CP681" s="51"/>
      <c r="CQ681" s="51"/>
      <c r="CR681" s="51"/>
      <c r="CS681" s="51"/>
      <c r="CT681" s="51"/>
      <c r="CU681" s="1"/>
      <c r="CV681" s="1"/>
      <c r="CW681" s="1"/>
      <c r="CX681" s="1"/>
      <c r="CY681" s="1"/>
      <c r="CZ681" s="1"/>
    </row>
    <row r="682" spans="1:104" ht="14.25" customHeight="1">
      <c r="A682" s="1"/>
      <c r="B682" s="2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1"/>
      <c r="CA682" s="51"/>
      <c r="CB682" s="51"/>
      <c r="CC682" s="51"/>
      <c r="CD682" s="51"/>
      <c r="CE682" s="51"/>
      <c r="CF682" s="51"/>
      <c r="CG682" s="51"/>
      <c r="CH682" s="51"/>
      <c r="CI682" s="51"/>
      <c r="CJ682" s="51"/>
      <c r="CK682" s="51"/>
      <c r="CL682" s="51"/>
      <c r="CM682" s="51"/>
      <c r="CN682" s="51"/>
      <c r="CO682" s="51"/>
      <c r="CP682" s="51"/>
      <c r="CQ682" s="51"/>
      <c r="CR682" s="51"/>
      <c r="CS682" s="51"/>
      <c r="CT682" s="51"/>
      <c r="CU682" s="1"/>
      <c r="CV682" s="1"/>
      <c r="CW682" s="1"/>
      <c r="CX682" s="1"/>
      <c r="CY682" s="1"/>
      <c r="CZ682" s="1"/>
    </row>
    <row r="683" spans="1:104" ht="14.25" customHeight="1">
      <c r="A683" s="1"/>
      <c r="B683" s="2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  <c r="CC683" s="51"/>
      <c r="CD683" s="51"/>
      <c r="CE683" s="51"/>
      <c r="CF683" s="51"/>
      <c r="CG683" s="51"/>
      <c r="CH683" s="51"/>
      <c r="CI683" s="51"/>
      <c r="CJ683" s="51"/>
      <c r="CK683" s="51"/>
      <c r="CL683" s="51"/>
      <c r="CM683" s="51"/>
      <c r="CN683" s="51"/>
      <c r="CO683" s="51"/>
      <c r="CP683" s="51"/>
      <c r="CQ683" s="51"/>
      <c r="CR683" s="51"/>
      <c r="CS683" s="51"/>
      <c r="CT683" s="51"/>
      <c r="CU683" s="1"/>
      <c r="CV683" s="1"/>
      <c r="CW683" s="1"/>
      <c r="CX683" s="1"/>
      <c r="CY683" s="1"/>
      <c r="CZ683" s="1"/>
    </row>
    <row r="684" spans="1:104" ht="14.25" customHeight="1">
      <c r="A684" s="1"/>
      <c r="B684" s="2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1"/>
      <c r="CA684" s="51"/>
      <c r="CB684" s="51"/>
      <c r="CC684" s="51"/>
      <c r="CD684" s="51"/>
      <c r="CE684" s="51"/>
      <c r="CF684" s="51"/>
      <c r="CG684" s="51"/>
      <c r="CH684" s="51"/>
      <c r="CI684" s="51"/>
      <c r="CJ684" s="51"/>
      <c r="CK684" s="51"/>
      <c r="CL684" s="51"/>
      <c r="CM684" s="51"/>
      <c r="CN684" s="51"/>
      <c r="CO684" s="51"/>
      <c r="CP684" s="51"/>
      <c r="CQ684" s="51"/>
      <c r="CR684" s="51"/>
      <c r="CS684" s="51"/>
      <c r="CT684" s="51"/>
      <c r="CU684" s="1"/>
      <c r="CV684" s="1"/>
      <c r="CW684" s="1"/>
      <c r="CX684" s="1"/>
      <c r="CY684" s="1"/>
      <c r="CZ684" s="1"/>
    </row>
    <row r="685" spans="1:104" ht="14.25" customHeight="1">
      <c r="A685" s="1"/>
      <c r="B685" s="2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1"/>
      <c r="CA685" s="51"/>
      <c r="CB685" s="51"/>
      <c r="CC685" s="51"/>
      <c r="CD685" s="51"/>
      <c r="CE685" s="51"/>
      <c r="CF685" s="51"/>
      <c r="CG685" s="51"/>
      <c r="CH685" s="51"/>
      <c r="CI685" s="51"/>
      <c r="CJ685" s="51"/>
      <c r="CK685" s="51"/>
      <c r="CL685" s="51"/>
      <c r="CM685" s="51"/>
      <c r="CN685" s="51"/>
      <c r="CO685" s="51"/>
      <c r="CP685" s="51"/>
      <c r="CQ685" s="51"/>
      <c r="CR685" s="51"/>
      <c r="CS685" s="51"/>
      <c r="CT685" s="51"/>
      <c r="CU685" s="1"/>
      <c r="CV685" s="1"/>
      <c r="CW685" s="1"/>
      <c r="CX685" s="1"/>
      <c r="CY685" s="1"/>
      <c r="CZ685" s="1"/>
    </row>
    <row r="686" spans="1:104" ht="14.25" customHeight="1">
      <c r="A686" s="1"/>
      <c r="B686" s="2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  <c r="CC686" s="51"/>
      <c r="CD686" s="51"/>
      <c r="CE686" s="51"/>
      <c r="CF686" s="51"/>
      <c r="CG686" s="51"/>
      <c r="CH686" s="51"/>
      <c r="CI686" s="51"/>
      <c r="CJ686" s="51"/>
      <c r="CK686" s="51"/>
      <c r="CL686" s="51"/>
      <c r="CM686" s="51"/>
      <c r="CN686" s="51"/>
      <c r="CO686" s="51"/>
      <c r="CP686" s="51"/>
      <c r="CQ686" s="51"/>
      <c r="CR686" s="51"/>
      <c r="CS686" s="51"/>
      <c r="CT686" s="51"/>
      <c r="CU686" s="1"/>
      <c r="CV686" s="1"/>
      <c r="CW686" s="1"/>
      <c r="CX686" s="1"/>
      <c r="CY686" s="1"/>
      <c r="CZ686" s="1"/>
    </row>
    <row r="687" spans="1:104" ht="14.25" customHeight="1">
      <c r="A687" s="1"/>
      <c r="B687" s="2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1"/>
      <c r="CA687" s="51"/>
      <c r="CB687" s="51"/>
      <c r="CC687" s="51"/>
      <c r="CD687" s="51"/>
      <c r="CE687" s="51"/>
      <c r="CF687" s="51"/>
      <c r="CG687" s="51"/>
      <c r="CH687" s="51"/>
      <c r="CI687" s="51"/>
      <c r="CJ687" s="51"/>
      <c r="CK687" s="51"/>
      <c r="CL687" s="51"/>
      <c r="CM687" s="51"/>
      <c r="CN687" s="51"/>
      <c r="CO687" s="51"/>
      <c r="CP687" s="51"/>
      <c r="CQ687" s="51"/>
      <c r="CR687" s="51"/>
      <c r="CS687" s="51"/>
      <c r="CT687" s="51"/>
      <c r="CU687" s="1"/>
      <c r="CV687" s="1"/>
      <c r="CW687" s="1"/>
      <c r="CX687" s="1"/>
      <c r="CY687" s="1"/>
      <c r="CZ687" s="1"/>
    </row>
    <row r="688" spans="1:104" ht="14.25" customHeight="1">
      <c r="A688" s="1"/>
      <c r="B688" s="2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  <c r="CC688" s="51"/>
      <c r="CD688" s="51"/>
      <c r="CE688" s="51"/>
      <c r="CF688" s="51"/>
      <c r="CG688" s="51"/>
      <c r="CH688" s="51"/>
      <c r="CI688" s="51"/>
      <c r="CJ688" s="51"/>
      <c r="CK688" s="51"/>
      <c r="CL688" s="51"/>
      <c r="CM688" s="51"/>
      <c r="CN688" s="51"/>
      <c r="CO688" s="51"/>
      <c r="CP688" s="51"/>
      <c r="CQ688" s="51"/>
      <c r="CR688" s="51"/>
      <c r="CS688" s="51"/>
      <c r="CT688" s="51"/>
      <c r="CU688" s="1"/>
      <c r="CV688" s="1"/>
      <c r="CW688" s="1"/>
      <c r="CX688" s="1"/>
      <c r="CY688" s="1"/>
      <c r="CZ688" s="1"/>
    </row>
    <row r="689" spans="1:104" ht="14.25" customHeight="1">
      <c r="A689" s="1"/>
      <c r="B689" s="2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  <c r="CC689" s="51"/>
      <c r="CD689" s="51"/>
      <c r="CE689" s="51"/>
      <c r="CF689" s="51"/>
      <c r="CG689" s="51"/>
      <c r="CH689" s="51"/>
      <c r="CI689" s="51"/>
      <c r="CJ689" s="51"/>
      <c r="CK689" s="51"/>
      <c r="CL689" s="51"/>
      <c r="CM689" s="51"/>
      <c r="CN689" s="51"/>
      <c r="CO689" s="51"/>
      <c r="CP689" s="51"/>
      <c r="CQ689" s="51"/>
      <c r="CR689" s="51"/>
      <c r="CS689" s="51"/>
      <c r="CT689" s="51"/>
      <c r="CU689" s="1"/>
      <c r="CV689" s="1"/>
      <c r="CW689" s="1"/>
      <c r="CX689" s="1"/>
      <c r="CY689" s="1"/>
      <c r="CZ689" s="1"/>
    </row>
    <row r="690" spans="1:104" ht="14.25" customHeight="1">
      <c r="A690" s="1"/>
      <c r="B690" s="2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1"/>
      <c r="CA690" s="51"/>
      <c r="CB690" s="51"/>
      <c r="CC690" s="51"/>
      <c r="CD690" s="51"/>
      <c r="CE690" s="51"/>
      <c r="CF690" s="51"/>
      <c r="CG690" s="51"/>
      <c r="CH690" s="51"/>
      <c r="CI690" s="51"/>
      <c r="CJ690" s="51"/>
      <c r="CK690" s="51"/>
      <c r="CL690" s="51"/>
      <c r="CM690" s="51"/>
      <c r="CN690" s="51"/>
      <c r="CO690" s="51"/>
      <c r="CP690" s="51"/>
      <c r="CQ690" s="51"/>
      <c r="CR690" s="51"/>
      <c r="CS690" s="51"/>
      <c r="CT690" s="51"/>
      <c r="CU690" s="1"/>
      <c r="CV690" s="1"/>
      <c r="CW690" s="1"/>
      <c r="CX690" s="1"/>
      <c r="CY690" s="1"/>
      <c r="CZ690" s="1"/>
    </row>
    <row r="691" spans="1:104" ht="14.25" customHeight="1">
      <c r="A691" s="1"/>
      <c r="B691" s="2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1"/>
      <c r="CA691" s="51"/>
      <c r="CB691" s="51"/>
      <c r="CC691" s="51"/>
      <c r="CD691" s="51"/>
      <c r="CE691" s="51"/>
      <c r="CF691" s="51"/>
      <c r="CG691" s="51"/>
      <c r="CH691" s="51"/>
      <c r="CI691" s="51"/>
      <c r="CJ691" s="51"/>
      <c r="CK691" s="51"/>
      <c r="CL691" s="51"/>
      <c r="CM691" s="51"/>
      <c r="CN691" s="51"/>
      <c r="CO691" s="51"/>
      <c r="CP691" s="51"/>
      <c r="CQ691" s="51"/>
      <c r="CR691" s="51"/>
      <c r="CS691" s="51"/>
      <c r="CT691" s="51"/>
      <c r="CU691" s="1"/>
      <c r="CV691" s="1"/>
      <c r="CW691" s="1"/>
      <c r="CX691" s="1"/>
      <c r="CY691" s="1"/>
      <c r="CZ691" s="1"/>
    </row>
    <row r="692" spans="1:104" ht="14.25" customHeight="1">
      <c r="A692" s="1"/>
      <c r="B692" s="2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  <c r="CC692" s="51"/>
      <c r="CD692" s="51"/>
      <c r="CE692" s="51"/>
      <c r="CF692" s="51"/>
      <c r="CG692" s="51"/>
      <c r="CH692" s="51"/>
      <c r="CI692" s="51"/>
      <c r="CJ692" s="51"/>
      <c r="CK692" s="51"/>
      <c r="CL692" s="51"/>
      <c r="CM692" s="51"/>
      <c r="CN692" s="51"/>
      <c r="CO692" s="51"/>
      <c r="CP692" s="51"/>
      <c r="CQ692" s="51"/>
      <c r="CR692" s="51"/>
      <c r="CS692" s="51"/>
      <c r="CT692" s="51"/>
      <c r="CU692" s="1"/>
      <c r="CV692" s="1"/>
      <c r="CW692" s="1"/>
      <c r="CX692" s="1"/>
      <c r="CY692" s="1"/>
      <c r="CZ692" s="1"/>
    </row>
    <row r="693" spans="1:104" ht="14.25" customHeight="1">
      <c r="A693" s="1"/>
      <c r="B693" s="2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1"/>
      <c r="CA693" s="51"/>
      <c r="CB693" s="51"/>
      <c r="CC693" s="51"/>
      <c r="CD693" s="51"/>
      <c r="CE693" s="51"/>
      <c r="CF693" s="51"/>
      <c r="CG693" s="51"/>
      <c r="CH693" s="51"/>
      <c r="CI693" s="51"/>
      <c r="CJ693" s="51"/>
      <c r="CK693" s="51"/>
      <c r="CL693" s="51"/>
      <c r="CM693" s="51"/>
      <c r="CN693" s="51"/>
      <c r="CO693" s="51"/>
      <c r="CP693" s="51"/>
      <c r="CQ693" s="51"/>
      <c r="CR693" s="51"/>
      <c r="CS693" s="51"/>
      <c r="CT693" s="51"/>
      <c r="CU693" s="1"/>
      <c r="CV693" s="1"/>
      <c r="CW693" s="1"/>
      <c r="CX693" s="1"/>
      <c r="CY693" s="1"/>
      <c r="CZ693" s="1"/>
    </row>
    <row r="694" spans="1:104" ht="14.25" customHeight="1">
      <c r="A694" s="1"/>
      <c r="B694" s="2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1"/>
      <c r="CA694" s="51"/>
      <c r="CB694" s="51"/>
      <c r="CC694" s="51"/>
      <c r="CD694" s="51"/>
      <c r="CE694" s="51"/>
      <c r="CF694" s="51"/>
      <c r="CG694" s="51"/>
      <c r="CH694" s="51"/>
      <c r="CI694" s="51"/>
      <c r="CJ694" s="51"/>
      <c r="CK694" s="51"/>
      <c r="CL694" s="51"/>
      <c r="CM694" s="51"/>
      <c r="CN694" s="51"/>
      <c r="CO694" s="51"/>
      <c r="CP694" s="51"/>
      <c r="CQ694" s="51"/>
      <c r="CR694" s="51"/>
      <c r="CS694" s="51"/>
      <c r="CT694" s="51"/>
      <c r="CU694" s="1"/>
      <c r="CV694" s="1"/>
      <c r="CW694" s="1"/>
      <c r="CX694" s="1"/>
      <c r="CY694" s="1"/>
      <c r="CZ694" s="1"/>
    </row>
    <row r="695" spans="1:104" ht="14.25" customHeight="1">
      <c r="A695" s="1"/>
      <c r="B695" s="2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  <c r="CC695" s="51"/>
      <c r="CD695" s="51"/>
      <c r="CE695" s="51"/>
      <c r="CF695" s="51"/>
      <c r="CG695" s="51"/>
      <c r="CH695" s="51"/>
      <c r="CI695" s="51"/>
      <c r="CJ695" s="51"/>
      <c r="CK695" s="51"/>
      <c r="CL695" s="51"/>
      <c r="CM695" s="51"/>
      <c r="CN695" s="51"/>
      <c r="CO695" s="51"/>
      <c r="CP695" s="51"/>
      <c r="CQ695" s="51"/>
      <c r="CR695" s="51"/>
      <c r="CS695" s="51"/>
      <c r="CT695" s="51"/>
      <c r="CU695" s="1"/>
      <c r="CV695" s="1"/>
      <c r="CW695" s="1"/>
      <c r="CX695" s="1"/>
      <c r="CY695" s="1"/>
      <c r="CZ695" s="1"/>
    </row>
    <row r="696" spans="1:104" ht="14.25" customHeight="1">
      <c r="A696" s="1"/>
      <c r="B696" s="2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1"/>
      <c r="CA696" s="51"/>
      <c r="CB696" s="51"/>
      <c r="CC696" s="51"/>
      <c r="CD696" s="51"/>
      <c r="CE696" s="51"/>
      <c r="CF696" s="51"/>
      <c r="CG696" s="51"/>
      <c r="CH696" s="51"/>
      <c r="CI696" s="51"/>
      <c r="CJ696" s="51"/>
      <c r="CK696" s="51"/>
      <c r="CL696" s="51"/>
      <c r="CM696" s="51"/>
      <c r="CN696" s="51"/>
      <c r="CO696" s="51"/>
      <c r="CP696" s="51"/>
      <c r="CQ696" s="51"/>
      <c r="CR696" s="51"/>
      <c r="CS696" s="51"/>
      <c r="CT696" s="51"/>
      <c r="CU696" s="1"/>
      <c r="CV696" s="1"/>
      <c r="CW696" s="1"/>
      <c r="CX696" s="1"/>
      <c r="CY696" s="1"/>
      <c r="CZ696" s="1"/>
    </row>
    <row r="697" spans="1:104" ht="14.25" customHeight="1">
      <c r="A697" s="1"/>
      <c r="B697" s="2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1"/>
      <c r="CA697" s="51"/>
      <c r="CB697" s="51"/>
      <c r="CC697" s="51"/>
      <c r="CD697" s="51"/>
      <c r="CE697" s="51"/>
      <c r="CF697" s="51"/>
      <c r="CG697" s="51"/>
      <c r="CH697" s="51"/>
      <c r="CI697" s="51"/>
      <c r="CJ697" s="51"/>
      <c r="CK697" s="51"/>
      <c r="CL697" s="51"/>
      <c r="CM697" s="51"/>
      <c r="CN697" s="51"/>
      <c r="CO697" s="51"/>
      <c r="CP697" s="51"/>
      <c r="CQ697" s="51"/>
      <c r="CR697" s="51"/>
      <c r="CS697" s="51"/>
      <c r="CT697" s="51"/>
      <c r="CU697" s="1"/>
      <c r="CV697" s="1"/>
      <c r="CW697" s="1"/>
      <c r="CX697" s="1"/>
      <c r="CY697" s="1"/>
      <c r="CZ697" s="1"/>
    </row>
    <row r="698" spans="1:104" ht="14.25" customHeight="1">
      <c r="A698" s="1"/>
      <c r="B698" s="2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  <c r="CC698" s="51"/>
      <c r="CD698" s="51"/>
      <c r="CE698" s="51"/>
      <c r="CF698" s="51"/>
      <c r="CG698" s="51"/>
      <c r="CH698" s="51"/>
      <c r="CI698" s="51"/>
      <c r="CJ698" s="51"/>
      <c r="CK698" s="51"/>
      <c r="CL698" s="51"/>
      <c r="CM698" s="51"/>
      <c r="CN698" s="51"/>
      <c r="CO698" s="51"/>
      <c r="CP698" s="51"/>
      <c r="CQ698" s="51"/>
      <c r="CR698" s="51"/>
      <c r="CS698" s="51"/>
      <c r="CT698" s="51"/>
      <c r="CU698" s="1"/>
      <c r="CV698" s="1"/>
      <c r="CW698" s="1"/>
      <c r="CX698" s="1"/>
      <c r="CY698" s="1"/>
      <c r="CZ698" s="1"/>
    </row>
    <row r="699" spans="1:104" ht="14.25" customHeight="1">
      <c r="A699" s="1"/>
      <c r="B699" s="2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  <c r="CC699" s="51"/>
      <c r="CD699" s="51"/>
      <c r="CE699" s="51"/>
      <c r="CF699" s="51"/>
      <c r="CG699" s="51"/>
      <c r="CH699" s="51"/>
      <c r="CI699" s="51"/>
      <c r="CJ699" s="51"/>
      <c r="CK699" s="51"/>
      <c r="CL699" s="51"/>
      <c r="CM699" s="51"/>
      <c r="CN699" s="51"/>
      <c r="CO699" s="51"/>
      <c r="CP699" s="51"/>
      <c r="CQ699" s="51"/>
      <c r="CR699" s="51"/>
      <c r="CS699" s="51"/>
      <c r="CT699" s="51"/>
      <c r="CU699" s="1"/>
      <c r="CV699" s="1"/>
      <c r="CW699" s="1"/>
      <c r="CX699" s="1"/>
      <c r="CY699" s="1"/>
      <c r="CZ699" s="1"/>
    </row>
    <row r="700" spans="1:104" ht="14.25" customHeight="1">
      <c r="A700" s="1"/>
      <c r="B700" s="2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  <c r="CC700" s="51"/>
      <c r="CD700" s="51"/>
      <c r="CE700" s="51"/>
      <c r="CF700" s="51"/>
      <c r="CG700" s="51"/>
      <c r="CH700" s="51"/>
      <c r="CI700" s="51"/>
      <c r="CJ700" s="51"/>
      <c r="CK700" s="51"/>
      <c r="CL700" s="51"/>
      <c r="CM700" s="51"/>
      <c r="CN700" s="51"/>
      <c r="CO700" s="51"/>
      <c r="CP700" s="51"/>
      <c r="CQ700" s="51"/>
      <c r="CR700" s="51"/>
      <c r="CS700" s="51"/>
      <c r="CT700" s="51"/>
      <c r="CU700" s="1"/>
      <c r="CV700" s="1"/>
      <c r="CW700" s="1"/>
      <c r="CX700" s="1"/>
      <c r="CY700" s="1"/>
      <c r="CZ700" s="1"/>
    </row>
    <row r="701" spans="1:104" ht="14.25" customHeight="1">
      <c r="A701" s="1"/>
      <c r="B701" s="2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1"/>
      <c r="CA701" s="51"/>
      <c r="CB701" s="51"/>
      <c r="CC701" s="51"/>
      <c r="CD701" s="51"/>
      <c r="CE701" s="51"/>
      <c r="CF701" s="51"/>
      <c r="CG701" s="51"/>
      <c r="CH701" s="51"/>
      <c r="CI701" s="51"/>
      <c r="CJ701" s="51"/>
      <c r="CK701" s="51"/>
      <c r="CL701" s="51"/>
      <c r="CM701" s="51"/>
      <c r="CN701" s="51"/>
      <c r="CO701" s="51"/>
      <c r="CP701" s="51"/>
      <c r="CQ701" s="51"/>
      <c r="CR701" s="51"/>
      <c r="CS701" s="51"/>
      <c r="CT701" s="51"/>
      <c r="CU701" s="1"/>
      <c r="CV701" s="1"/>
      <c r="CW701" s="1"/>
      <c r="CX701" s="1"/>
      <c r="CY701" s="1"/>
      <c r="CZ701" s="1"/>
    </row>
    <row r="702" spans="1:104" ht="14.25" customHeight="1">
      <c r="A702" s="1"/>
      <c r="B702" s="2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  <c r="CC702" s="51"/>
      <c r="CD702" s="51"/>
      <c r="CE702" s="51"/>
      <c r="CF702" s="51"/>
      <c r="CG702" s="51"/>
      <c r="CH702" s="51"/>
      <c r="CI702" s="51"/>
      <c r="CJ702" s="51"/>
      <c r="CK702" s="51"/>
      <c r="CL702" s="51"/>
      <c r="CM702" s="51"/>
      <c r="CN702" s="51"/>
      <c r="CO702" s="51"/>
      <c r="CP702" s="51"/>
      <c r="CQ702" s="51"/>
      <c r="CR702" s="51"/>
      <c r="CS702" s="51"/>
      <c r="CT702" s="51"/>
      <c r="CU702" s="1"/>
      <c r="CV702" s="1"/>
      <c r="CW702" s="1"/>
      <c r="CX702" s="1"/>
      <c r="CY702" s="1"/>
      <c r="CZ702" s="1"/>
    </row>
    <row r="703" spans="1:104" ht="14.25" customHeight="1">
      <c r="A703" s="1"/>
      <c r="B703" s="2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  <c r="CC703" s="51"/>
      <c r="CD703" s="51"/>
      <c r="CE703" s="51"/>
      <c r="CF703" s="51"/>
      <c r="CG703" s="51"/>
      <c r="CH703" s="51"/>
      <c r="CI703" s="51"/>
      <c r="CJ703" s="51"/>
      <c r="CK703" s="51"/>
      <c r="CL703" s="51"/>
      <c r="CM703" s="51"/>
      <c r="CN703" s="51"/>
      <c r="CO703" s="51"/>
      <c r="CP703" s="51"/>
      <c r="CQ703" s="51"/>
      <c r="CR703" s="51"/>
      <c r="CS703" s="51"/>
      <c r="CT703" s="51"/>
      <c r="CU703" s="1"/>
      <c r="CV703" s="1"/>
      <c r="CW703" s="1"/>
      <c r="CX703" s="1"/>
      <c r="CY703" s="1"/>
      <c r="CZ703" s="1"/>
    </row>
    <row r="704" spans="1:104" ht="14.25" customHeight="1">
      <c r="A704" s="1"/>
      <c r="B704" s="2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  <c r="CC704" s="51"/>
      <c r="CD704" s="51"/>
      <c r="CE704" s="51"/>
      <c r="CF704" s="51"/>
      <c r="CG704" s="51"/>
      <c r="CH704" s="51"/>
      <c r="CI704" s="51"/>
      <c r="CJ704" s="51"/>
      <c r="CK704" s="51"/>
      <c r="CL704" s="51"/>
      <c r="CM704" s="51"/>
      <c r="CN704" s="51"/>
      <c r="CO704" s="51"/>
      <c r="CP704" s="51"/>
      <c r="CQ704" s="51"/>
      <c r="CR704" s="51"/>
      <c r="CS704" s="51"/>
      <c r="CT704" s="51"/>
      <c r="CU704" s="1"/>
      <c r="CV704" s="1"/>
      <c r="CW704" s="1"/>
      <c r="CX704" s="1"/>
      <c r="CY704" s="1"/>
      <c r="CZ704" s="1"/>
    </row>
    <row r="705" spans="1:104" ht="14.25" customHeight="1">
      <c r="A705" s="1"/>
      <c r="B705" s="2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1"/>
      <c r="CA705" s="51"/>
      <c r="CB705" s="51"/>
      <c r="CC705" s="51"/>
      <c r="CD705" s="51"/>
      <c r="CE705" s="51"/>
      <c r="CF705" s="51"/>
      <c r="CG705" s="51"/>
      <c r="CH705" s="51"/>
      <c r="CI705" s="51"/>
      <c r="CJ705" s="51"/>
      <c r="CK705" s="51"/>
      <c r="CL705" s="51"/>
      <c r="CM705" s="51"/>
      <c r="CN705" s="51"/>
      <c r="CO705" s="51"/>
      <c r="CP705" s="51"/>
      <c r="CQ705" s="51"/>
      <c r="CR705" s="51"/>
      <c r="CS705" s="51"/>
      <c r="CT705" s="51"/>
      <c r="CU705" s="1"/>
      <c r="CV705" s="1"/>
      <c r="CW705" s="1"/>
      <c r="CX705" s="1"/>
      <c r="CY705" s="1"/>
      <c r="CZ705" s="1"/>
    </row>
    <row r="706" spans="1:104" ht="14.25" customHeight="1">
      <c r="A706" s="1"/>
      <c r="B706" s="2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  <c r="CC706" s="51"/>
      <c r="CD706" s="51"/>
      <c r="CE706" s="51"/>
      <c r="CF706" s="51"/>
      <c r="CG706" s="51"/>
      <c r="CH706" s="51"/>
      <c r="CI706" s="51"/>
      <c r="CJ706" s="51"/>
      <c r="CK706" s="51"/>
      <c r="CL706" s="51"/>
      <c r="CM706" s="51"/>
      <c r="CN706" s="51"/>
      <c r="CO706" s="51"/>
      <c r="CP706" s="51"/>
      <c r="CQ706" s="51"/>
      <c r="CR706" s="51"/>
      <c r="CS706" s="51"/>
      <c r="CT706" s="51"/>
      <c r="CU706" s="1"/>
      <c r="CV706" s="1"/>
      <c r="CW706" s="1"/>
      <c r="CX706" s="1"/>
      <c r="CY706" s="1"/>
      <c r="CZ706" s="1"/>
    </row>
    <row r="707" spans="1:104" ht="14.25" customHeight="1">
      <c r="A707" s="1"/>
      <c r="B707" s="2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  <c r="CC707" s="51"/>
      <c r="CD707" s="51"/>
      <c r="CE707" s="51"/>
      <c r="CF707" s="51"/>
      <c r="CG707" s="51"/>
      <c r="CH707" s="51"/>
      <c r="CI707" s="51"/>
      <c r="CJ707" s="51"/>
      <c r="CK707" s="51"/>
      <c r="CL707" s="51"/>
      <c r="CM707" s="51"/>
      <c r="CN707" s="51"/>
      <c r="CO707" s="51"/>
      <c r="CP707" s="51"/>
      <c r="CQ707" s="51"/>
      <c r="CR707" s="51"/>
      <c r="CS707" s="51"/>
      <c r="CT707" s="51"/>
      <c r="CU707" s="1"/>
      <c r="CV707" s="1"/>
      <c r="CW707" s="1"/>
      <c r="CX707" s="1"/>
      <c r="CY707" s="1"/>
      <c r="CZ707" s="1"/>
    </row>
    <row r="708" spans="1:104" ht="14.25" customHeight="1">
      <c r="A708" s="1"/>
      <c r="B708" s="2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1"/>
      <c r="CA708" s="51"/>
      <c r="CB708" s="51"/>
      <c r="CC708" s="51"/>
      <c r="CD708" s="51"/>
      <c r="CE708" s="51"/>
      <c r="CF708" s="51"/>
      <c r="CG708" s="51"/>
      <c r="CH708" s="51"/>
      <c r="CI708" s="51"/>
      <c r="CJ708" s="51"/>
      <c r="CK708" s="51"/>
      <c r="CL708" s="51"/>
      <c r="CM708" s="51"/>
      <c r="CN708" s="51"/>
      <c r="CO708" s="51"/>
      <c r="CP708" s="51"/>
      <c r="CQ708" s="51"/>
      <c r="CR708" s="51"/>
      <c r="CS708" s="51"/>
      <c r="CT708" s="51"/>
      <c r="CU708" s="1"/>
      <c r="CV708" s="1"/>
      <c r="CW708" s="1"/>
      <c r="CX708" s="1"/>
      <c r="CY708" s="1"/>
      <c r="CZ708" s="1"/>
    </row>
    <row r="709" spans="1:104" ht="14.25" customHeight="1">
      <c r="A709" s="1"/>
      <c r="B709" s="2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1"/>
      <c r="CA709" s="51"/>
      <c r="CB709" s="51"/>
      <c r="CC709" s="51"/>
      <c r="CD709" s="51"/>
      <c r="CE709" s="51"/>
      <c r="CF709" s="51"/>
      <c r="CG709" s="51"/>
      <c r="CH709" s="51"/>
      <c r="CI709" s="51"/>
      <c r="CJ709" s="51"/>
      <c r="CK709" s="51"/>
      <c r="CL709" s="51"/>
      <c r="CM709" s="51"/>
      <c r="CN709" s="51"/>
      <c r="CO709" s="51"/>
      <c r="CP709" s="51"/>
      <c r="CQ709" s="51"/>
      <c r="CR709" s="51"/>
      <c r="CS709" s="51"/>
      <c r="CT709" s="51"/>
      <c r="CU709" s="1"/>
      <c r="CV709" s="1"/>
      <c r="CW709" s="1"/>
      <c r="CX709" s="1"/>
      <c r="CY709" s="1"/>
      <c r="CZ709" s="1"/>
    </row>
    <row r="710" spans="1:104" ht="14.25" customHeight="1">
      <c r="A710" s="1"/>
      <c r="B710" s="2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  <c r="CC710" s="51"/>
      <c r="CD710" s="51"/>
      <c r="CE710" s="51"/>
      <c r="CF710" s="51"/>
      <c r="CG710" s="51"/>
      <c r="CH710" s="51"/>
      <c r="CI710" s="51"/>
      <c r="CJ710" s="51"/>
      <c r="CK710" s="51"/>
      <c r="CL710" s="51"/>
      <c r="CM710" s="51"/>
      <c r="CN710" s="51"/>
      <c r="CO710" s="51"/>
      <c r="CP710" s="51"/>
      <c r="CQ710" s="51"/>
      <c r="CR710" s="51"/>
      <c r="CS710" s="51"/>
      <c r="CT710" s="51"/>
      <c r="CU710" s="1"/>
      <c r="CV710" s="1"/>
      <c r="CW710" s="1"/>
      <c r="CX710" s="1"/>
      <c r="CY710" s="1"/>
      <c r="CZ710" s="1"/>
    </row>
    <row r="711" spans="1:104" ht="14.25" customHeight="1">
      <c r="A711" s="1"/>
      <c r="B711" s="2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1"/>
      <c r="CA711" s="51"/>
      <c r="CB711" s="51"/>
      <c r="CC711" s="51"/>
      <c r="CD711" s="51"/>
      <c r="CE711" s="51"/>
      <c r="CF711" s="51"/>
      <c r="CG711" s="51"/>
      <c r="CH711" s="51"/>
      <c r="CI711" s="51"/>
      <c r="CJ711" s="51"/>
      <c r="CK711" s="51"/>
      <c r="CL711" s="51"/>
      <c r="CM711" s="51"/>
      <c r="CN711" s="51"/>
      <c r="CO711" s="51"/>
      <c r="CP711" s="51"/>
      <c r="CQ711" s="51"/>
      <c r="CR711" s="51"/>
      <c r="CS711" s="51"/>
      <c r="CT711" s="51"/>
      <c r="CU711" s="1"/>
      <c r="CV711" s="1"/>
      <c r="CW711" s="1"/>
      <c r="CX711" s="1"/>
      <c r="CY711" s="1"/>
      <c r="CZ711" s="1"/>
    </row>
    <row r="712" spans="1:104" ht="14.25" customHeight="1">
      <c r="A712" s="1"/>
      <c r="B712" s="2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  <c r="CC712" s="51"/>
      <c r="CD712" s="51"/>
      <c r="CE712" s="51"/>
      <c r="CF712" s="51"/>
      <c r="CG712" s="51"/>
      <c r="CH712" s="51"/>
      <c r="CI712" s="51"/>
      <c r="CJ712" s="51"/>
      <c r="CK712" s="51"/>
      <c r="CL712" s="51"/>
      <c r="CM712" s="51"/>
      <c r="CN712" s="51"/>
      <c r="CO712" s="51"/>
      <c r="CP712" s="51"/>
      <c r="CQ712" s="51"/>
      <c r="CR712" s="51"/>
      <c r="CS712" s="51"/>
      <c r="CT712" s="51"/>
      <c r="CU712" s="1"/>
      <c r="CV712" s="1"/>
      <c r="CW712" s="1"/>
      <c r="CX712" s="1"/>
      <c r="CY712" s="1"/>
      <c r="CZ712" s="1"/>
    </row>
    <row r="713" spans="1:104" ht="14.25" customHeight="1">
      <c r="A713" s="1"/>
      <c r="B713" s="2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  <c r="CC713" s="51"/>
      <c r="CD713" s="51"/>
      <c r="CE713" s="51"/>
      <c r="CF713" s="51"/>
      <c r="CG713" s="51"/>
      <c r="CH713" s="51"/>
      <c r="CI713" s="51"/>
      <c r="CJ713" s="51"/>
      <c r="CK713" s="51"/>
      <c r="CL713" s="51"/>
      <c r="CM713" s="51"/>
      <c r="CN713" s="51"/>
      <c r="CO713" s="51"/>
      <c r="CP713" s="51"/>
      <c r="CQ713" s="51"/>
      <c r="CR713" s="51"/>
      <c r="CS713" s="51"/>
      <c r="CT713" s="51"/>
      <c r="CU713" s="1"/>
      <c r="CV713" s="1"/>
      <c r="CW713" s="1"/>
      <c r="CX713" s="1"/>
      <c r="CY713" s="1"/>
      <c r="CZ713" s="1"/>
    </row>
    <row r="714" spans="1:104" ht="14.25" customHeight="1">
      <c r="A714" s="1"/>
      <c r="B714" s="2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1"/>
      <c r="CA714" s="51"/>
      <c r="CB714" s="51"/>
      <c r="CC714" s="51"/>
      <c r="CD714" s="51"/>
      <c r="CE714" s="51"/>
      <c r="CF714" s="51"/>
      <c r="CG714" s="51"/>
      <c r="CH714" s="51"/>
      <c r="CI714" s="51"/>
      <c r="CJ714" s="51"/>
      <c r="CK714" s="51"/>
      <c r="CL714" s="51"/>
      <c r="CM714" s="51"/>
      <c r="CN714" s="51"/>
      <c r="CO714" s="51"/>
      <c r="CP714" s="51"/>
      <c r="CQ714" s="51"/>
      <c r="CR714" s="51"/>
      <c r="CS714" s="51"/>
      <c r="CT714" s="51"/>
      <c r="CU714" s="1"/>
      <c r="CV714" s="1"/>
      <c r="CW714" s="1"/>
      <c r="CX714" s="1"/>
      <c r="CY714" s="1"/>
      <c r="CZ714" s="1"/>
    </row>
    <row r="715" spans="1:104" ht="14.25" customHeight="1">
      <c r="A715" s="1"/>
      <c r="B715" s="2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1"/>
      <c r="CA715" s="51"/>
      <c r="CB715" s="51"/>
      <c r="CC715" s="51"/>
      <c r="CD715" s="51"/>
      <c r="CE715" s="51"/>
      <c r="CF715" s="51"/>
      <c r="CG715" s="51"/>
      <c r="CH715" s="51"/>
      <c r="CI715" s="51"/>
      <c r="CJ715" s="51"/>
      <c r="CK715" s="51"/>
      <c r="CL715" s="51"/>
      <c r="CM715" s="51"/>
      <c r="CN715" s="51"/>
      <c r="CO715" s="51"/>
      <c r="CP715" s="51"/>
      <c r="CQ715" s="51"/>
      <c r="CR715" s="51"/>
      <c r="CS715" s="51"/>
      <c r="CT715" s="51"/>
      <c r="CU715" s="1"/>
      <c r="CV715" s="1"/>
      <c r="CW715" s="1"/>
      <c r="CX715" s="1"/>
      <c r="CY715" s="1"/>
      <c r="CZ715" s="1"/>
    </row>
    <row r="716" spans="1:104" ht="14.25" customHeight="1">
      <c r="A716" s="1"/>
      <c r="B716" s="2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1"/>
      <c r="CA716" s="51"/>
      <c r="CB716" s="51"/>
      <c r="CC716" s="51"/>
      <c r="CD716" s="51"/>
      <c r="CE716" s="51"/>
      <c r="CF716" s="51"/>
      <c r="CG716" s="51"/>
      <c r="CH716" s="51"/>
      <c r="CI716" s="51"/>
      <c r="CJ716" s="51"/>
      <c r="CK716" s="51"/>
      <c r="CL716" s="51"/>
      <c r="CM716" s="51"/>
      <c r="CN716" s="51"/>
      <c r="CO716" s="51"/>
      <c r="CP716" s="51"/>
      <c r="CQ716" s="51"/>
      <c r="CR716" s="51"/>
      <c r="CS716" s="51"/>
      <c r="CT716" s="51"/>
      <c r="CU716" s="1"/>
      <c r="CV716" s="1"/>
      <c r="CW716" s="1"/>
      <c r="CX716" s="1"/>
      <c r="CY716" s="1"/>
      <c r="CZ716" s="1"/>
    </row>
    <row r="717" spans="1:104" ht="14.25" customHeight="1">
      <c r="A717" s="1"/>
      <c r="B717" s="2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1"/>
      <c r="CA717" s="51"/>
      <c r="CB717" s="51"/>
      <c r="CC717" s="51"/>
      <c r="CD717" s="51"/>
      <c r="CE717" s="51"/>
      <c r="CF717" s="51"/>
      <c r="CG717" s="51"/>
      <c r="CH717" s="51"/>
      <c r="CI717" s="51"/>
      <c r="CJ717" s="51"/>
      <c r="CK717" s="51"/>
      <c r="CL717" s="51"/>
      <c r="CM717" s="51"/>
      <c r="CN717" s="51"/>
      <c r="CO717" s="51"/>
      <c r="CP717" s="51"/>
      <c r="CQ717" s="51"/>
      <c r="CR717" s="51"/>
      <c r="CS717" s="51"/>
      <c r="CT717" s="51"/>
      <c r="CU717" s="1"/>
      <c r="CV717" s="1"/>
      <c r="CW717" s="1"/>
      <c r="CX717" s="1"/>
      <c r="CY717" s="1"/>
      <c r="CZ717" s="1"/>
    </row>
    <row r="718" spans="1:104" ht="14.25" customHeight="1">
      <c r="A718" s="1"/>
      <c r="B718" s="2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1"/>
      <c r="CA718" s="51"/>
      <c r="CB718" s="51"/>
      <c r="CC718" s="51"/>
      <c r="CD718" s="51"/>
      <c r="CE718" s="51"/>
      <c r="CF718" s="51"/>
      <c r="CG718" s="51"/>
      <c r="CH718" s="51"/>
      <c r="CI718" s="51"/>
      <c r="CJ718" s="51"/>
      <c r="CK718" s="51"/>
      <c r="CL718" s="51"/>
      <c r="CM718" s="51"/>
      <c r="CN718" s="51"/>
      <c r="CO718" s="51"/>
      <c r="CP718" s="51"/>
      <c r="CQ718" s="51"/>
      <c r="CR718" s="51"/>
      <c r="CS718" s="51"/>
      <c r="CT718" s="51"/>
      <c r="CU718" s="1"/>
      <c r="CV718" s="1"/>
      <c r="CW718" s="1"/>
      <c r="CX718" s="1"/>
      <c r="CY718" s="1"/>
      <c r="CZ718" s="1"/>
    </row>
    <row r="719" spans="1:104" ht="14.25" customHeight="1">
      <c r="A719" s="1"/>
      <c r="B719" s="2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1"/>
      <c r="CA719" s="51"/>
      <c r="CB719" s="51"/>
      <c r="CC719" s="51"/>
      <c r="CD719" s="51"/>
      <c r="CE719" s="51"/>
      <c r="CF719" s="51"/>
      <c r="CG719" s="51"/>
      <c r="CH719" s="51"/>
      <c r="CI719" s="51"/>
      <c r="CJ719" s="51"/>
      <c r="CK719" s="51"/>
      <c r="CL719" s="51"/>
      <c r="CM719" s="51"/>
      <c r="CN719" s="51"/>
      <c r="CO719" s="51"/>
      <c r="CP719" s="51"/>
      <c r="CQ719" s="51"/>
      <c r="CR719" s="51"/>
      <c r="CS719" s="51"/>
      <c r="CT719" s="51"/>
      <c r="CU719" s="1"/>
      <c r="CV719" s="1"/>
      <c r="CW719" s="1"/>
      <c r="CX719" s="1"/>
      <c r="CY719" s="1"/>
      <c r="CZ719" s="1"/>
    </row>
    <row r="720" spans="1:104" ht="14.25" customHeight="1">
      <c r="A720" s="1"/>
      <c r="B720" s="2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1"/>
      <c r="CA720" s="51"/>
      <c r="CB720" s="51"/>
      <c r="CC720" s="51"/>
      <c r="CD720" s="51"/>
      <c r="CE720" s="51"/>
      <c r="CF720" s="51"/>
      <c r="CG720" s="51"/>
      <c r="CH720" s="51"/>
      <c r="CI720" s="51"/>
      <c r="CJ720" s="51"/>
      <c r="CK720" s="51"/>
      <c r="CL720" s="51"/>
      <c r="CM720" s="51"/>
      <c r="CN720" s="51"/>
      <c r="CO720" s="51"/>
      <c r="CP720" s="51"/>
      <c r="CQ720" s="51"/>
      <c r="CR720" s="51"/>
      <c r="CS720" s="51"/>
      <c r="CT720" s="51"/>
      <c r="CU720" s="1"/>
      <c r="CV720" s="1"/>
      <c r="CW720" s="1"/>
      <c r="CX720" s="1"/>
      <c r="CY720" s="1"/>
      <c r="CZ720" s="1"/>
    </row>
    <row r="721" spans="1:104" ht="14.25" customHeight="1">
      <c r="A721" s="1"/>
      <c r="B721" s="2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  <c r="CC721" s="51"/>
      <c r="CD721" s="51"/>
      <c r="CE721" s="51"/>
      <c r="CF721" s="51"/>
      <c r="CG721" s="51"/>
      <c r="CH721" s="51"/>
      <c r="CI721" s="51"/>
      <c r="CJ721" s="51"/>
      <c r="CK721" s="51"/>
      <c r="CL721" s="51"/>
      <c r="CM721" s="51"/>
      <c r="CN721" s="51"/>
      <c r="CO721" s="51"/>
      <c r="CP721" s="51"/>
      <c r="CQ721" s="51"/>
      <c r="CR721" s="51"/>
      <c r="CS721" s="51"/>
      <c r="CT721" s="51"/>
      <c r="CU721" s="1"/>
      <c r="CV721" s="1"/>
      <c r="CW721" s="1"/>
      <c r="CX721" s="1"/>
      <c r="CY721" s="1"/>
      <c r="CZ721" s="1"/>
    </row>
    <row r="722" spans="1:104" ht="14.25" customHeight="1">
      <c r="A722" s="1"/>
      <c r="B722" s="2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  <c r="CC722" s="51"/>
      <c r="CD722" s="51"/>
      <c r="CE722" s="51"/>
      <c r="CF722" s="51"/>
      <c r="CG722" s="51"/>
      <c r="CH722" s="51"/>
      <c r="CI722" s="51"/>
      <c r="CJ722" s="51"/>
      <c r="CK722" s="51"/>
      <c r="CL722" s="51"/>
      <c r="CM722" s="51"/>
      <c r="CN722" s="51"/>
      <c r="CO722" s="51"/>
      <c r="CP722" s="51"/>
      <c r="CQ722" s="51"/>
      <c r="CR722" s="51"/>
      <c r="CS722" s="51"/>
      <c r="CT722" s="51"/>
      <c r="CU722" s="1"/>
      <c r="CV722" s="1"/>
      <c r="CW722" s="1"/>
      <c r="CX722" s="1"/>
      <c r="CY722" s="1"/>
      <c r="CZ722" s="1"/>
    </row>
    <row r="723" spans="1:104" ht="14.25" customHeight="1">
      <c r="A723" s="1"/>
      <c r="B723" s="2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1"/>
      <c r="CA723" s="51"/>
      <c r="CB723" s="51"/>
      <c r="CC723" s="51"/>
      <c r="CD723" s="51"/>
      <c r="CE723" s="51"/>
      <c r="CF723" s="51"/>
      <c r="CG723" s="51"/>
      <c r="CH723" s="51"/>
      <c r="CI723" s="51"/>
      <c r="CJ723" s="51"/>
      <c r="CK723" s="51"/>
      <c r="CL723" s="51"/>
      <c r="CM723" s="51"/>
      <c r="CN723" s="51"/>
      <c r="CO723" s="51"/>
      <c r="CP723" s="51"/>
      <c r="CQ723" s="51"/>
      <c r="CR723" s="51"/>
      <c r="CS723" s="51"/>
      <c r="CT723" s="51"/>
      <c r="CU723" s="1"/>
      <c r="CV723" s="1"/>
      <c r="CW723" s="1"/>
      <c r="CX723" s="1"/>
      <c r="CY723" s="1"/>
      <c r="CZ723" s="1"/>
    </row>
    <row r="724" spans="1:104" ht="14.25" customHeight="1">
      <c r="A724" s="1"/>
      <c r="B724" s="2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1"/>
      <c r="CA724" s="51"/>
      <c r="CB724" s="51"/>
      <c r="CC724" s="51"/>
      <c r="CD724" s="51"/>
      <c r="CE724" s="51"/>
      <c r="CF724" s="51"/>
      <c r="CG724" s="51"/>
      <c r="CH724" s="51"/>
      <c r="CI724" s="51"/>
      <c r="CJ724" s="51"/>
      <c r="CK724" s="51"/>
      <c r="CL724" s="51"/>
      <c r="CM724" s="51"/>
      <c r="CN724" s="51"/>
      <c r="CO724" s="51"/>
      <c r="CP724" s="51"/>
      <c r="CQ724" s="51"/>
      <c r="CR724" s="51"/>
      <c r="CS724" s="51"/>
      <c r="CT724" s="51"/>
      <c r="CU724" s="1"/>
      <c r="CV724" s="1"/>
      <c r="CW724" s="1"/>
      <c r="CX724" s="1"/>
      <c r="CY724" s="1"/>
      <c r="CZ724" s="1"/>
    </row>
    <row r="725" spans="1:104" ht="14.25" customHeight="1">
      <c r="A725" s="1"/>
      <c r="B725" s="2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  <c r="CC725" s="51"/>
      <c r="CD725" s="51"/>
      <c r="CE725" s="51"/>
      <c r="CF725" s="51"/>
      <c r="CG725" s="51"/>
      <c r="CH725" s="51"/>
      <c r="CI725" s="51"/>
      <c r="CJ725" s="51"/>
      <c r="CK725" s="51"/>
      <c r="CL725" s="51"/>
      <c r="CM725" s="51"/>
      <c r="CN725" s="51"/>
      <c r="CO725" s="51"/>
      <c r="CP725" s="51"/>
      <c r="CQ725" s="51"/>
      <c r="CR725" s="51"/>
      <c r="CS725" s="51"/>
      <c r="CT725" s="51"/>
      <c r="CU725" s="1"/>
      <c r="CV725" s="1"/>
      <c r="CW725" s="1"/>
      <c r="CX725" s="1"/>
      <c r="CY725" s="1"/>
      <c r="CZ725" s="1"/>
    </row>
    <row r="726" spans="1:104" ht="14.25" customHeight="1">
      <c r="A726" s="1"/>
      <c r="B726" s="2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1"/>
      <c r="CA726" s="51"/>
      <c r="CB726" s="51"/>
      <c r="CC726" s="51"/>
      <c r="CD726" s="51"/>
      <c r="CE726" s="51"/>
      <c r="CF726" s="51"/>
      <c r="CG726" s="51"/>
      <c r="CH726" s="51"/>
      <c r="CI726" s="51"/>
      <c r="CJ726" s="51"/>
      <c r="CK726" s="51"/>
      <c r="CL726" s="51"/>
      <c r="CM726" s="51"/>
      <c r="CN726" s="51"/>
      <c r="CO726" s="51"/>
      <c r="CP726" s="51"/>
      <c r="CQ726" s="51"/>
      <c r="CR726" s="51"/>
      <c r="CS726" s="51"/>
      <c r="CT726" s="51"/>
      <c r="CU726" s="1"/>
      <c r="CV726" s="1"/>
      <c r="CW726" s="1"/>
      <c r="CX726" s="1"/>
      <c r="CY726" s="1"/>
      <c r="CZ726" s="1"/>
    </row>
    <row r="727" spans="1:104" ht="14.25" customHeight="1">
      <c r="A727" s="1"/>
      <c r="B727" s="2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1"/>
      <c r="CA727" s="51"/>
      <c r="CB727" s="51"/>
      <c r="CC727" s="51"/>
      <c r="CD727" s="51"/>
      <c r="CE727" s="51"/>
      <c r="CF727" s="51"/>
      <c r="CG727" s="51"/>
      <c r="CH727" s="51"/>
      <c r="CI727" s="51"/>
      <c r="CJ727" s="51"/>
      <c r="CK727" s="51"/>
      <c r="CL727" s="51"/>
      <c r="CM727" s="51"/>
      <c r="CN727" s="51"/>
      <c r="CO727" s="51"/>
      <c r="CP727" s="51"/>
      <c r="CQ727" s="51"/>
      <c r="CR727" s="51"/>
      <c r="CS727" s="51"/>
      <c r="CT727" s="51"/>
      <c r="CU727" s="1"/>
      <c r="CV727" s="1"/>
      <c r="CW727" s="1"/>
      <c r="CX727" s="1"/>
      <c r="CY727" s="1"/>
      <c r="CZ727" s="1"/>
    </row>
    <row r="728" spans="1:104" ht="14.25" customHeight="1">
      <c r="A728" s="1"/>
      <c r="B728" s="2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1"/>
      <c r="CA728" s="51"/>
      <c r="CB728" s="51"/>
      <c r="CC728" s="51"/>
      <c r="CD728" s="51"/>
      <c r="CE728" s="51"/>
      <c r="CF728" s="51"/>
      <c r="CG728" s="51"/>
      <c r="CH728" s="51"/>
      <c r="CI728" s="51"/>
      <c r="CJ728" s="51"/>
      <c r="CK728" s="51"/>
      <c r="CL728" s="51"/>
      <c r="CM728" s="51"/>
      <c r="CN728" s="51"/>
      <c r="CO728" s="51"/>
      <c r="CP728" s="51"/>
      <c r="CQ728" s="51"/>
      <c r="CR728" s="51"/>
      <c r="CS728" s="51"/>
      <c r="CT728" s="51"/>
      <c r="CU728" s="1"/>
      <c r="CV728" s="1"/>
      <c r="CW728" s="1"/>
      <c r="CX728" s="1"/>
      <c r="CY728" s="1"/>
      <c r="CZ728" s="1"/>
    </row>
    <row r="729" spans="1:104" ht="14.25" customHeight="1">
      <c r="A729" s="1"/>
      <c r="B729" s="2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1"/>
      <c r="CA729" s="51"/>
      <c r="CB729" s="51"/>
      <c r="CC729" s="51"/>
      <c r="CD729" s="51"/>
      <c r="CE729" s="51"/>
      <c r="CF729" s="51"/>
      <c r="CG729" s="51"/>
      <c r="CH729" s="51"/>
      <c r="CI729" s="51"/>
      <c r="CJ729" s="51"/>
      <c r="CK729" s="51"/>
      <c r="CL729" s="51"/>
      <c r="CM729" s="51"/>
      <c r="CN729" s="51"/>
      <c r="CO729" s="51"/>
      <c r="CP729" s="51"/>
      <c r="CQ729" s="51"/>
      <c r="CR729" s="51"/>
      <c r="CS729" s="51"/>
      <c r="CT729" s="51"/>
      <c r="CU729" s="1"/>
      <c r="CV729" s="1"/>
      <c r="CW729" s="1"/>
      <c r="CX729" s="1"/>
      <c r="CY729" s="1"/>
      <c r="CZ729" s="1"/>
    </row>
    <row r="730" spans="1:104" ht="14.25" customHeight="1">
      <c r="A730" s="1"/>
      <c r="B730" s="2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1"/>
      <c r="CA730" s="51"/>
      <c r="CB730" s="51"/>
      <c r="CC730" s="51"/>
      <c r="CD730" s="51"/>
      <c r="CE730" s="51"/>
      <c r="CF730" s="51"/>
      <c r="CG730" s="51"/>
      <c r="CH730" s="51"/>
      <c r="CI730" s="51"/>
      <c r="CJ730" s="51"/>
      <c r="CK730" s="51"/>
      <c r="CL730" s="51"/>
      <c r="CM730" s="51"/>
      <c r="CN730" s="51"/>
      <c r="CO730" s="51"/>
      <c r="CP730" s="51"/>
      <c r="CQ730" s="51"/>
      <c r="CR730" s="51"/>
      <c r="CS730" s="51"/>
      <c r="CT730" s="51"/>
      <c r="CU730" s="1"/>
      <c r="CV730" s="1"/>
      <c r="CW730" s="1"/>
      <c r="CX730" s="1"/>
      <c r="CY730" s="1"/>
      <c r="CZ730" s="1"/>
    </row>
    <row r="731" spans="1:104" ht="14.25" customHeight="1">
      <c r="A731" s="1"/>
      <c r="B731" s="2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1"/>
      <c r="CA731" s="51"/>
      <c r="CB731" s="51"/>
      <c r="CC731" s="51"/>
      <c r="CD731" s="51"/>
      <c r="CE731" s="51"/>
      <c r="CF731" s="51"/>
      <c r="CG731" s="51"/>
      <c r="CH731" s="51"/>
      <c r="CI731" s="51"/>
      <c r="CJ731" s="51"/>
      <c r="CK731" s="51"/>
      <c r="CL731" s="51"/>
      <c r="CM731" s="51"/>
      <c r="CN731" s="51"/>
      <c r="CO731" s="51"/>
      <c r="CP731" s="51"/>
      <c r="CQ731" s="51"/>
      <c r="CR731" s="51"/>
      <c r="CS731" s="51"/>
      <c r="CT731" s="51"/>
      <c r="CU731" s="1"/>
      <c r="CV731" s="1"/>
      <c r="CW731" s="1"/>
      <c r="CX731" s="1"/>
      <c r="CY731" s="1"/>
      <c r="CZ731" s="1"/>
    </row>
    <row r="732" spans="1:104" ht="14.25" customHeight="1">
      <c r="A732" s="1"/>
      <c r="B732" s="2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  <c r="CC732" s="51"/>
      <c r="CD732" s="51"/>
      <c r="CE732" s="51"/>
      <c r="CF732" s="51"/>
      <c r="CG732" s="51"/>
      <c r="CH732" s="51"/>
      <c r="CI732" s="51"/>
      <c r="CJ732" s="51"/>
      <c r="CK732" s="51"/>
      <c r="CL732" s="51"/>
      <c r="CM732" s="51"/>
      <c r="CN732" s="51"/>
      <c r="CO732" s="51"/>
      <c r="CP732" s="51"/>
      <c r="CQ732" s="51"/>
      <c r="CR732" s="51"/>
      <c r="CS732" s="51"/>
      <c r="CT732" s="51"/>
      <c r="CU732" s="1"/>
      <c r="CV732" s="1"/>
      <c r="CW732" s="1"/>
      <c r="CX732" s="1"/>
      <c r="CY732" s="1"/>
      <c r="CZ732" s="1"/>
    </row>
    <row r="733" spans="1:104" ht="14.25" customHeight="1">
      <c r="A733" s="1"/>
      <c r="B733" s="2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1"/>
      <c r="CA733" s="51"/>
      <c r="CB733" s="51"/>
      <c r="CC733" s="51"/>
      <c r="CD733" s="51"/>
      <c r="CE733" s="51"/>
      <c r="CF733" s="51"/>
      <c r="CG733" s="51"/>
      <c r="CH733" s="51"/>
      <c r="CI733" s="51"/>
      <c r="CJ733" s="51"/>
      <c r="CK733" s="51"/>
      <c r="CL733" s="51"/>
      <c r="CM733" s="51"/>
      <c r="CN733" s="51"/>
      <c r="CO733" s="51"/>
      <c r="CP733" s="51"/>
      <c r="CQ733" s="51"/>
      <c r="CR733" s="51"/>
      <c r="CS733" s="51"/>
      <c r="CT733" s="51"/>
      <c r="CU733" s="1"/>
      <c r="CV733" s="1"/>
      <c r="CW733" s="1"/>
      <c r="CX733" s="1"/>
      <c r="CY733" s="1"/>
      <c r="CZ733" s="1"/>
    </row>
    <row r="734" spans="1:104" ht="14.25" customHeight="1">
      <c r="A734" s="1"/>
      <c r="B734" s="2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1"/>
      <c r="CA734" s="51"/>
      <c r="CB734" s="51"/>
      <c r="CC734" s="51"/>
      <c r="CD734" s="51"/>
      <c r="CE734" s="51"/>
      <c r="CF734" s="51"/>
      <c r="CG734" s="51"/>
      <c r="CH734" s="51"/>
      <c r="CI734" s="51"/>
      <c r="CJ734" s="51"/>
      <c r="CK734" s="51"/>
      <c r="CL734" s="51"/>
      <c r="CM734" s="51"/>
      <c r="CN734" s="51"/>
      <c r="CO734" s="51"/>
      <c r="CP734" s="51"/>
      <c r="CQ734" s="51"/>
      <c r="CR734" s="51"/>
      <c r="CS734" s="51"/>
      <c r="CT734" s="51"/>
      <c r="CU734" s="1"/>
      <c r="CV734" s="1"/>
      <c r="CW734" s="1"/>
      <c r="CX734" s="1"/>
      <c r="CY734" s="1"/>
      <c r="CZ734" s="1"/>
    </row>
    <row r="735" spans="1:104" ht="14.25" customHeight="1">
      <c r="A735" s="1"/>
      <c r="B735" s="2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1"/>
      <c r="CA735" s="51"/>
      <c r="CB735" s="51"/>
      <c r="CC735" s="51"/>
      <c r="CD735" s="51"/>
      <c r="CE735" s="51"/>
      <c r="CF735" s="51"/>
      <c r="CG735" s="51"/>
      <c r="CH735" s="51"/>
      <c r="CI735" s="51"/>
      <c r="CJ735" s="51"/>
      <c r="CK735" s="51"/>
      <c r="CL735" s="51"/>
      <c r="CM735" s="51"/>
      <c r="CN735" s="51"/>
      <c r="CO735" s="51"/>
      <c r="CP735" s="51"/>
      <c r="CQ735" s="51"/>
      <c r="CR735" s="51"/>
      <c r="CS735" s="51"/>
      <c r="CT735" s="51"/>
      <c r="CU735" s="1"/>
      <c r="CV735" s="1"/>
      <c r="CW735" s="1"/>
      <c r="CX735" s="1"/>
      <c r="CY735" s="1"/>
      <c r="CZ735" s="1"/>
    </row>
    <row r="736" spans="1:104" ht="14.25" customHeight="1">
      <c r="A736" s="1"/>
      <c r="B736" s="2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1"/>
      <c r="CA736" s="51"/>
      <c r="CB736" s="51"/>
      <c r="CC736" s="51"/>
      <c r="CD736" s="51"/>
      <c r="CE736" s="51"/>
      <c r="CF736" s="51"/>
      <c r="CG736" s="51"/>
      <c r="CH736" s="51"/>
      <c r="CI736" s="51"/>
      <c r="CJ736" s="51"/>
      <c r="CK736" s="51"/>
      <c r="CL736" s="51"/>
      <c r="CM736" s="51"/>
      <c r="CN736" s="51"/>
      <c r="CO736" s="51"/>
      <c r="CP736" s="51"/>
      <c r="CQ736" s="51"/>
      <c r="CR736" s="51"/>
      <c r="CS736" s="51"/>
      <c r="CT736" s="51"/>
      <c r="CU736" s="1"/>
      <c r="CV736" s="1"/>
      <c r="CW736" s="1"/>
      <c r="CX736" s="1"/>
      <c r="CY736" s="1"/>
      <c r="CZ736" s="1"/>
    </row>
    <row r="737" spans="1:104" ht="14.25" customHeight="1">
      <c r="A737" s="1"/>
      <c r="B737" s="2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  <c r="CC737" s="51"/>
      <c r="CD737" s="51"/>
      <c r="CE737" s="51"/>
      <c r="CF737" s="51"/>
      <c r="CG737" s="51"/>
      <c r="CH737" s="51"/>
      <c r="CI737" s="51"/>
      <c r="CJ737" s="51"/>
      <c r="CK737" s="51"/>
      <c r="CL737" s="51"/>
      <c r="CM737" s="51"/>
      <c r="CN737" s="51"/>
      <c r="CO737" s="51"/>
      <c r="CP737" s="51"/>
      <c r="CQ737" s="51"/>
      <c r="CR737" s="51"/>
      <c r="CS737" s="51"/>
      <c r="CT737" s="51"/>
      <c r="CU737" s="1"/>
      <c r="CV737" s="1"/>
      <c r="CW737" s="1"/>
      <c r="CX737" s="1"/>
      <c r="CY737" s="1"/>
      <c r="CZ737" s="1"/>
    </row>
    <row r="738" spans="1:104" ht="14.25" customHeight="1">
      <c r="A738" s="1"/>
      <c r="B738" s="2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1"/>
      <c r="CA738" s="51"/>
      <c r="CB738" s="51"/>
      <c r="CC738" s="51"/>
      <c r="CD738" s="51"/>
      <c r="CE738" s="51"/>
      <c r="CF738" s="51"/>
      <c r="CG738" s="51"/>
      <c r="CH738" s="51"/>
      <c r="CI738" s="51"/>
      <c r="CJ738" s="51"/>
      <c r="CK738" s="51"/>
      <c r="CL738" s="51"/>
      <c r="CM738" s="51"/>
      <c r="CN738" s="51"/>
      <c r="CO738" s="51"/>
      <c r="CP738" s="51"/>
      <c r="CQ738" s="51"/>
      <c r="CR738" s="51"/>
      <c r="CS738" s="51"/>
      <c r="CT738" s="51"/>
      <c r="CU738" s="1"/>
      <c r="CV738" s="1"/>
      <c r="CW738" s="1"/>
      <c r="CX738" s="1"/>
      <c r="CY738" s="1"/>
      <c r="CZ738" s="1"/>
    </row>
    <row r="739" spans="1:104" ht="14.25" customHeight="1">
      <c r="A739" s="1"/>
      <c r="B739" s="2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1"/>
      <c r="CA739" s="51"/>
      <c r="CB739" s="51"/>
      <c r="CC739" s="51"/>
      <c r="CD739" s="51"/>
      <c r="CE739" s="51"/>
      <c r="CF739" s="51"/>
      <c r="CG739" s="51"/>
      <c r="CH739" s="51"/>
      <c r="CI739" s="51"/>
      <c r="CJ739" s="51"/>
      <c r="CK739" s="51"/>
      <c r="CL739" s="51"/>
      <c r="CM739" s="51"/>
      <c r="CN739" s="51"/>
      <c r="CO739" s="51"/>
      <c r="CP739" s="51"/>
      <c r="CQ739" s="51"/>
      <c r="CR739" s="51"/>
      <c r="CS739" s="51"/>
      <c r="CT739" s="51"/>
      <c r="CU739" s="1"/>
      <c r="CV739" s="1"/>
      <c r="CW739" s="1"/>
      <c r="CX739" s="1"/>
      <c r="CY739" s="1"/>
      <c r="CZ739" s="1"/>
    </row>
    <row r="740" spans="1:104" ht="14.25" customHeight="1">
      <c r="A740" s="1"/>
      <c r="B740" s="2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  <c r="CC740" s="51"/>
      <c r="CD740" s="51"/>
      <c r="CE740" s="51"/>
      <c r="CF740" s="51"/>
      <c r="CG740" s="51"/>
      <c r="CH740" s="51"/>
      <c r="CI740" s="51"/>
      <c r="CJ740" s="51"/>
      <c r="CK740" s="51"/>
      <c r="CL740" s="51"/>
      <c r="CM740" s="51"/>
      <c r="CN740" s="51"/>
      <c r="CO740" s="51"/>
      <c r="CP740" s="51"/>
      <c r="CQ740" s="51"/>
      <c r="CR740" s="51"/>
      <c r="CS740" s="51"/>
      <c r="CT740" s="51"/>
      <c r="CU740" s="1"/>
      <c r="CV740" s="1"/>
      <c r="CW740" s="1"/>
      <c r="CX740" s="1"/>
      <c r="CY740" s="1"/>
      <c r="CZ740" s="1"/>
    </row>
    <row r="741" spans="1:104" ht="14.25" customHeight="1">
      <c r="A741" s="1"/>
      <c r="B741" s="2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1"/>
      <c r="CA741" s="51"/>
      <c r="CB741" s="51"/>
      <c r="CC741" s="51"/>
      <c r="CD741" s="51"/>
      <c r="CE741" s="51"/>
      <c r="CF741" s="51"/>
      <c r="CG741" s="51"/>
      <c r="CH741" s="51"/>
      <c r="CI741" s="51"/>
      <c r="CJ741" s="51"/>
      <c r="CK741" s="51"/>
      <c r="CL741" s="51"/>
      <c r="CM741" s="51"/>
      <c r="CN741" s="51"/>
      <c r="CO741" s="51"/>
      <c r="CP741" s="51"/>
      <c r="CQ741" s="51"/>
      <c r="CR741" s="51"/>
      <c r="CS741" s="51"/>
      <c r="CT741" s="51"/>
      <c r="CU741" s="1"/>
      <c r="CV741" s="1"/>
      <c r="CW741" s="1"/>
      <c r="CX741" s="1"/>
      <c r="CY741" s="1"/>
      <c r="CZ741" s="1"/>
    </row>
    <row r="742" spans="1:104" ht="14.25" customHeight="1">
      <c r="A742" s="1"/>
      <c r="B742" s="2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1"/>
      <c r="CA742" s="51"/>
      <c r="CB742" s="51"/>
      <c r="CC742" s="51"/>
      <c r="CD742" s="51"/>
      <c r="CE742" s="51"/>
      <c r="CF742" s="51"/>
      <c r="CG742" s="51"/>
      <c r="CH742" s="51"/>
      <c r="CI742" s="51"/>
      <c r="CJ742" s="51"/>
      <c r="CK742" s="51"/>
      <c r="CL742" s="51"/>
      <c r="CM742" s="51"/>
      <c r="CN742" s="51"/>
      <c r="CO742" s="51"/>
      <c r="CP742" s="51"/>
      <c r="CQ742" s="51"/>
      <c r="CR742" s="51"/>
      <c r="CS742" s="51"/>
      <c r="CT742" s="51"/>
      <c r="CU742" s="1"/>
      <c r="CV742" s="1"/>
      <c r="CW742" s="1"/>
      <c r="CX742" s="1"/>
      <c r="CY742" s="1"/>
      <c r="CZ742" s="1"/>
    </row>
    <row r="743" spans="1:104" ht="14.25" customHeight="1">
      <c r="A743" s="1"/>
      <c r="B743" s="2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  <c r="CC743" s="51"/>
      <c r="CD743" s="51"/>
      <c r="CE743" s="51"/>
      <c r="CF743" s="51"/>
      <c r="CG743" s="51"/>
      <c r="CH743" s="51"/>
      <c r="CI743" s="51"/>
      <c r="CJ743" s="51"/>
      <c r="CK743" s="51"/>
      <c r="CL743" s="51"/>
      <c r="CM743" s="51"/>
      <c r="CN743" s="51"/>
      <c r="CO743" s="51"/>
      <c r="CP743" s="51"/>
      <c r="CQ743" s="51"/>
      <c r="CR743" s="51"/>
      <c r="CS743" s="51"/>
      <c r="CT743" s="51"/>
      <c r="CU743" s="1"/>
      <c r="CV743" s="1"/>
      <c r="CW743" s="1"/>
      <c r="CX743" s="1"/>
      <c r="CY743" s="1"/>
      <c r="CZ743" s="1"/>
    </row>
    <row r="744" spans="1:104" ht="14.25" customHeight="1">
      <c r="A744" s="1"/>
      <c r="B744" s="2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1"/>
      <c r="CA744" s="51"/>
      <c r="CB744" s="51"/>
      <c r="CC744" s="51"/>
      <c r="CD744" s="51"/>
      <c r="CE744" s="51"/>
      <c r="CF744" s="51"/>
      <c r="CG744" s="51"/>
      <c r="CH744" s="51"/>
      <c r="CI744" s="51"/>
      <c r="CJ744" s="51"/>
      <c r="CK744" s="51"/>
      <c r="CL744" s="51"/>
      <c r="CM744" s="51"/>
      <c r="CN744" s="51"/>
      <c r="CO744" s="51"/>
      <c r="CP744" s="51"/>
      <c r="CQ744" s="51"/>
      <c r="CR744" s="51"/>
      <c r="CS744" s="51"/>
      <c r="CT744" s="51"/>
      <c r="CU744" s="1"/>
      <c r="CV744" s="1"/>
      <c r="CW744" s="1"/>
      <c r="CX744" s="1"/>
      <c r="CY744" s="1"/>
      <c r="CZ744" s="1"/>
    </row>
    <row r="745" spans="1:104" ht="14.25" customHeight="1">
      <c r="A745" s="1"/>
      <c r="B745" s="2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1"/>
      <c r="CA745" s="51"/>
      <c r="CB745" s="51"/>
      <c r="CC745" s="51"/>
      <c r="CD745" s="51"/>
      <c r="CE745" s="51"/>
      <c r="CF745" s="51"/>
      <c r="CG745" s="51"/>
      <c r="CH745" s="51"/>
      <c r="CI745" s="51"/>
      <c r="CJ745" s="51"/>
      <c r="CK745" s="51"/>
      <c r="CL745" s="51"/>
      <c r="CM745" s="51"/>
      <c r="CN745" s="51"/>
      <c r="CO745" s="51"/>
      <c r="CP745" s="51"/>
      <c r="CQ745" s="51"/>
      <c r="CR745" s="51"/>
      <c r="CS745" s="51"/>
      <c r="CT745" s="51"/>
      <c r="CU745" s="1"/>
      <c r="CV745" s="1"/>
      <c r="CW745" s="1"/>
      <c r="CX745" s="1"/>
      <c r="CY745" s="1"/>
      <c r="CZ745" s="1"/>
    </row>
    <row r="746" spans="1:104" ht="14.25" customHeight="1">
      <c r="A746" s="1"/>
      <c r="B746" s="2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1"/>
      <c r="CA746" s="51"/>
      <c r="CB746" s="51"/>
      <c r="CC746" s="51"/>
      <c r="CD746" s="51"/>
      <c r="CE746" s="51"/>
      <c r="CF746" s="51"/>
      <c r="CG746" s="51"/>
      <c r="CH746" s="51"/>
      <c r="CI746" s="51"/>
      <c r="CJ746" s="51"/>
      <c r="CK746" s="51"/>
      <c r="CL746" s="51"/>
      <c r="CM746" s="51"/>
      <c r="CN746" s="51"/>
      <c r="CO746" s="51"/>
      <c r="CP746" s="51"/>
      <c r="CQ746" s="51"/>
      <c r="CR746" s="51"/>
      <c r="CS746" s="51"/>
      <c r="CT746" s="51"/>
      <c r="CU746" s="1"/>
      <c r="CV746" s="1"/>
      <c r="CW746" s="1"/>
      <c r="CX746" s="1"/>
      <c r="CY746" s="1"/>
      <c r="CZ746" s="1"/>
    </row>
    <row r="747" spans="1:104" ht="14.25" customHeight="1">
      <c r="A747" s="1"/>
      <c r="B747" s="2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1"/>
      <c r="CA747" s="51"/>
      <c r="CB747" s="51"/>
      <c r="CC747" s="51"/>
      <c r="CD747" s="51"/>
      <c r="CE747" s="51"/>
      <c r="CF747" s="51"/>
      <c r="CG747" s="51"/>
      <c r="CH747" s="51"/>
      <c r="CI747" s="51"/>
      <c r="CJ747" s="51"/>
      <c r="CK747" s="51"/>
      <c r="CL747" s="51"/>
      <c r="CM747" s="51"/>
      <c r="CN747" s="51"/>
      <c r="CO747" s="51"/>
      <c r="CP747" s="51"/>
      <c r="CQ747" s="51"/>
      <c r="CR747" s="51"/>
      <c r="CS747" s="51"/>
      <c r="CT747" s="51"/>
      <c r="CU747" s="1"/>
      <c r="CV747" s="1"/>
      <c r="CW747" s="1"/>
      <c r="CX747" s="1"/>
      <c r="CY747" s="1"/>
      <c r="CZ747" s="1"/>
    </row>
    <row r="748" spans="1:104" ht="14.25" customHeight="1">
      <c r="A748" s="1"/>
      <c r="B748" s="2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1"/>
      <c r="CA748" s="51"/>
      <c r="CB748" s="51"/>
      <c r="CC748" s="51"/>
      <c r="CD748" s="51"/>
      <c r="CE748" s="51"/>
      <c r="CF748" s="51"/>
      <c r="CG748" s="51"/>
      <c r="CH748" s="51"/>
      <c r="CI748" s="51"/>
      <c r="CJ748" s="51"/>
      <c r="CK748" s="51"/>
      <c r="CL748" s="51"/>
      <c r="CM748" s="51"/>
      <c r="CN748" s="51"/>
      <c r="CO748" s="51"/>
      <c r="CP748" s="51"/>
      <c r="CQ748" s="51"/>
      <c r="CR748" s="51"/>
      <c r="CS748" s="51"/>
      <c r="CT748" s="51"/>
      <c r="CU748" s="1"/>
      <c r="CV748" s="1"/>
      <c r="CW748" s="1"/>
      <c r="CX748" s="1"/>
      <c r="CY748" s="1"/>
      <c r="CZ748" s="1"/>
    </row>
    <row r="749" spans="1:104" ht="14.25" customHeight="1">
      <c r="A749" s="1"/>
      <c r="B749" s="2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1"/>
      <c r="CA749" s="51"/>
      <c r="CB749" s="51"/>
      <c r="CC749" s="51"/>
      <c r="CD749" s="51"/>
      <c r="CE749" s="51"/>
      <c r="CF749" s="51"/>
      <c r="CG749" s="51"/>
      <c r="CH749" s="51"/>
      <c r="CI749" s="51"/>
      <c r="CJ749" s="51"/>
      <c r="CK749" s="51"/>
      <c r="CL749" s="51"/>
      <c r="CM749" s="51"/>
      <c r="CN749" s="51"/>
      <c r="CO749" s="51"/>
      <c r="CP749" s="51"/>
      <c r="CQ749" s="51"/>
      <c r="CR749" s="51"/>
      <c r="CS749" s="51"/>
      <c r="CT749" s="51"/>
      <c r="CU749" s="1"/>
      <c r="CV749" s="1"/>
      <c r="CW749" s="1"/>
      <c r="CX749" s="1"/>
      <c r="CY749" s="1"/>
      <c r="CZ749" s="1"/>
    </row>
    <row r="750" spans="1:104" ht="14.25" customHeight="1">
      <c r="A750" s="1"/>
      <c r="B750" s="2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1"/>
      <c r="CA750" s="51"/>
      <c r="CB750" s="51"/>
      <c r="CC750" s="51"/>
      <c r="CD750" s="51"/>
      <c r="CE750" s="51"/>
      <c r="CF750" s="51"/>
      <c r="CG750" s="51"/>
      <c r="CH750" s="51"/>
      <c r="CI750" s="51"/>
      <c r="CJ750" s="51"/>
      <c r="CK750" s="51"/>
      <c r="CL750" s="51"/>
      <c r="CM750" s="51"/>
      <c r="CN750" s="51"/>
      <c r="CO750" s="51"/>
      <c r="CP750" s="51"/>
      <c r="CQ750" s="51"/>
      <c r="CR750" s="51"/>
      <c r="CS750" s="51"/>
      <c r="CT750" s="51"/>
      <c r="CU750" s="1"/>
      <c r="CV750" s="1"/>
      <c r="CW750" s="1"/>
      <c r="CX750" s="1"/>
      <c r="CY750" s="1"/>
      <c r="CZ750" s="1"/>
    </row>
    <row r="751" spans="1:104" ht="14.25" customHeight="1">
      <c r="A751" s="1"/>
      <c r="B751" s="2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1"/>
      <c r="CA751" s="51"/>
      <c r="CB751" s="51"/>
      <c r="CC751" s="51"/>
      <c r="CD751" s="51"/>
      <c r="CE751" s="51"/>
      <c r="CF751" s="51"/>
      <c r="CG751" s="51"/>
      <c r="CH751" s="51"/>
      <c r="CI751" s="51"/>
      <c r="CJ751" s="51"/>
      <c r="CK751" s="51"/>
      <c r="CL751" s="51"/>
      <c r="CM751" s="51"/>
      <c r="CN751" s="51"/>
      <c r="CO751" s="51"/>
      <c r="CP751" s="51"/>
      <c r="CQ751" s="51"/>
      <c r="CR751" s="51"/>
      <c r="CS751" s="51"/>
      <c r="CT751" s="51"/>
      <c r="CU751" s="1"/>
      <c r="CV751" s="1"/>
      <c r="CW751" s="1"/>
      <c r="CX751" s="1"/>
      <c r="CY751" s="1"/>
      <c r="CZ751" s="1"/>
    </row>
    <row r="752" spans="1:104" ht="14.25" customHeight="1">
      <c r="A752" s="1"/>
      <c r="B752" s="2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  <c r="CC752" s="51"/>
      <c r="CD752" s="51"/>
      <c r="CE752" s="51"/>
      <c r="CF752" s="51"/>
      <c r="CG752" s="51"/>
      <c r="CH752" s="51"/>
      <c r="CI752" s="51"/>
      <c r="CJ752" s="51"/>
      <c r="CK752" s="51"/>
      <c r="CL752" s="51"/>
      <c r="CM752" s="51"/>
      <c r="CN752" s="51"/>
      <c r="CO752" s="51"/>
      <c r="CP752" s="51"/>
      <c r="CQ752" s="51"/>
      <c r="CR752" s="51"/>
      <c r="CS752" s="51"/>
      <c r="CT752" s="51"/>
      <c r="CU752" s="1"/>
      <c r="CV752" s="1"/>
      <c r="CW752" s="1"/>
      <c r="CX752" s="1"/>
      <c r="CY752" s="1"/>
      <c r="CZ752" s="1"/>
    </row>
    <row r="753" spans="1:104" ht="14.25" customHeight="1">
      <c r="A753" s="1"/>
      <c r="B753" s="2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  <c r="CC753" s="51"/>
      <c r="CD753" s="51"/>
      <c r="CE753" s="51"/>
      <c r="CF753" s="51"/>
      <c r="CG753" s="51"/>
      <c r="CH753" s="51"/>
      <c r="CI753" s="51"/>
      <c r="CJ753" s="51"/>
      <c r="CK753" s="51"/>
      <c r="CL753" s="51"/>
      <c r="CM753" s="51"/>
      <c r="CN753" s="51"/>
      <c r="CO753" s="51"/>
      <c r="CP753" s="51"/>
      <c r="CQ753" s="51"/>
      <c r="CR753" s="51"/>
      <c r="CS753" s="51"/>
      <c r="CT753" s="51"/>
      <c r="CU753" s="1"/>
      <c r="CV753" s="1"/>
      <c r="CW753" s="1"/>
      <c r="CX753" s="1"/>
      <c r="CY753" s="1"/>
      <c r="CZ753" s="1"/>
    </row>
    <row r="754" spans="1:104" ht="14.25" customHeight="1">
      <c r="A754" s="1"/>
      <c r="B754" s="2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  <c r="CC754" s="51"/>
      <c r="CD754" s="51"/>
      <c r="CE754" s="51"/>
      <c r="CF754" s="51"/>
      <c r="CG754" s="51"/>
      <c r="CH754" s="51"/>
      <c r="CI754" s="51"/>
      <c r="CJ754" s="51"/>
      <c r="CK754" s="51"/>
      <c r="CL754" s="51"/>
      <c r="CM754" s="51"/>
      <c r="CN754" s="51"/>
      <c r="CO754" s="51"/>
      <c r="CP754" s="51"/>
      <c r="CQ754" s="51"/>
      <c r="CR754" s="51"/>
      <c r="CS754" s="51"/>
      <c r="CT754" s="51"/>
      <c r="CU754" s="1"/>
      <c r="CV754" s="1"/>
      <c r="CW754" s="1"/>
      <c r="CX754" s="1"/>
      <c r="CY754" s="1"/>
      <c r="CZ754" s="1"/>
    </row>
    <row r="755" spans="1:104" ht="14.25" customHeight="1">
      <c r="A755" s="1"/>
      <c r="B755" s="2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  <c r="CC755" s="51"/>
      <c r="CD755" s="51"/>
      <c r="CE755" s="51"/>
      <c r="CF755" s="51"/>
      <c r="CG755" s="51"/>
      <c r="CH755" s="51"/>
      <c r="CI755" s="51"/>
      <c r="CJ755" s="51"/>
      <c r="CK755" s="51"/>
      <c r="CL755" s="51"/>
      <c r="CM755" s="51"/>
      <c r="CN755" s="51"/>
      <c r="CO755" s="51"/>
      <c r="CP755" s="51"/>
      <c r="CQ755" s="51"/>
      <c r="CR755" s="51"/>
      <c r="CS755" s="51"/>
      <c r="CT755" s="51"/>
      <c r="CU755" s="1"/>
      <c r="CV755" s="1"/>
      <c r="CW755" s="1"/>
      <c r="CX755" s="1"/>
      <c r="CY755" s="1"/>
      <c r="CZ755" s="1"/>
    </row>
    <row r="756" spans="1:104" ht="14.25" customHeight="1">
      <c r="A756" s="1"/>
      <c r="B756" s="2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1"/>
      <c r="CA756" s="51"/>
      <c r="CB756" s="51"/>
      <c r="CC756" s="51"/>
      <c r="CD756" s="51"/>
      <c r="CE756" s="51"/>
      <c r="CF756" s="51"/>
      <c r="CG756" s="51"/>
      <c r="CH756" s="51"/>
      <c r="CI756" s="51"/>
      <c r="CJ756" s="51"/>
      <c r="CK756" s="51"/>
      <c r="CL756" s="51"/>
      <c r="CM756" s="51"/>
      <c r="CN756" s="51"/>
      <c r="CO756" s="51"/>
      <c r="CP756" s="51"/>
      <c r="CQ756" s="51"/>
      <c r="CR756" s="51"/>
      <c r="CS756" s="51"/>
      <c r="CT756" s="51"/>
      <c r="CU756" s="1"/>
      <c r="CV756" s="1"/>
      <c r="CW756" s="1"/>
      <c r="CX756" s="1"/>
      <c r="CY756" s="1"/>
      <c r="CZ756" s="1"/>
    </row>
    <row r="757" spans="1:104" ht="14.25" customHeight="1">
      <c r="A757" s="1"/>
      <c r="B757" s="2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  <c r="CC757" s="51"/>
      <c r="CD757" s="51"/>
      <c r="CE757" s="51"/>
      <c r="CF757" s="51"/>
      <c r="CG757" s="51"/>
      <c r="CH757" s="51"/>
      <c r="CI757" s="51"/>
      <c r="CJ757" s="51"/>
      <c r="CK757" s="51"/>
      <c r="CL757" s="51"/>
      <c r="CM757" s="51"/>
      <c r="CN757" s="51"/>
      <c r="CO757" s="51"/>
      <c r="CP757" s="51"/>
      <c r="CQ757" s="51"/>
      <c r="CR757" s="51"/>
      <c r="CS757" s="51"/>
      <c r="CT757" s="51"/>
      <c r="CU757" s="1"/>
      <c r="CV757" s="1"/>
      <c r="CW757" s="1"/>
      <c r="CX757" s="1"/>
      <c r="CY757" s="1"/>
      <c r="CZ757" s="1"/>
    </row>
    <row r="758" spans="1:104" ht="14.25" customHeight="1">
      <c r="A758" s="1"/>
      <c r="B758" s="2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  <c r="CC758" s="51"/>
      <c r="CD758" s="51"/>
      <c r="CE758" s="51"/>
      <c r="CF758" s="51"/>
      <c r="CG758" s="51"/>
      <c r="CH758" s="51"/>
      <c r="CI758" s="51"/>
      <c r="CJ758" s="51"/>
      <c r="CK758" s="51"/>
      <c r="CL758" s="51"/>
      <c r="CM758" s="51"/>
      <c r="CN758" s="51"/>
      <c r="CO758" s="51"/>
      <c r="CP758" s="51"/>
      <c r="CQ758" s="51"/>
      <c r="CR758" s="51"/>
      <c r="CS758" s="51"/>
      <c r="CT758" s="51"/>
      <c r="CU758" s="1"/>
      <c r="CV758" s="1"/>
      <c r="CW758" s="1"/>
      <c r="CX758" s="1"/>
      <c r="CY758" s="1"/>
      <c r="CZ758" s="1"/>
    </row>
    <row r="759" spans="1:104" ht="14.25" customHeight="1">
      <c r="A759" s="1"/>
      <c r="B759" s="2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  <c r="CC759" s="51"/>
      <c r="CD759" s="51"/>
      <c r="CE759" s="51"/>
      <c r="CF759" s="51"/>
      <c r="CG759" s="51"/>
      <c r="CH759" s="51"/>
      <c r="CI759" s="51"/>
      <c r="CJ759" s="51"/>
      <c r="CK759" s="51"/>
      <c r="CL759" s="51"/>
      <c r="CM759" s="51"/>
      <c r="CN759" s="51"/>
      <c r="CO759" s="51"/>
      <c r="CP759" s="51"/>
      <c r="CQ759" s="51"/>
      <c r="CR759" s="51"/>
      <c r="CS759" s="51"/>
      <c r="CT759" s="51"/>
      <c r="CU759" s="1"/>
      <c r="CV759" s="1"/>
      <c r="CW759" s="1"/>
      <c r="CX759" s="1"/>
      <c r="CY759" s="1"/>
      <c r="CZ759" s="1"/>
    </row>
    <row r="760" spans="1:104" ht="14.25" customHeight="1">
      <c r="A760" s="1"/>
      <c r="B760" s="2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  <c r="CC760" s="51"/>
      <c r="CD760" s="51"/>
      <c r="CE760" s="51"/>
      <c r="CF760" s="51"/>
      <c r="CG760" s="51"/>
      <c r="CH760" s="51"/>
      <c r="CI760" s="51"/>
      <c r="CJ760" s="51"/>
      <c r="CK760" s="51"/>
      <c r="CL760" s="51"/>
      <c r="CM760" s="51"/>
      <c r="CN760" s="51"/>
      <c r="CO760" s="51"/>
      <c r="CP760" s="51"/>
      <c r="CQ760" s="51"/>
      <c r="CR760" s="51"/>
      <c r="CS760" s="51"/>
      <c r="CT760" s="51"/>
      <c r="CU760" s="1"/>
      <c r="CV760" s="1"/>
      <c r="CW760" s="1"/>
      <c r="CX760" s="1"/>
      <c r="CY760" s="1"/>
      <c r="CZ760" s="1"/>
    </row>
    <row r="761" spans="1:104" ht="14.25" customHeight="1">
      <c r="A761" s="1"/>
      <c r="B761" s="2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  <c r="CC761" s="51"/>
      <c r="CD761" s="51"/>
      <c r="CE761" s="51"/>
      <c r="CF761" s="51"/>
      <c r="CG761" s="51"/>
      <c r="CH761" s="51"/>
      <c r="CI761" s="51"/>
      <c r="CJ761" s="51"/>
      <c r="CK761" s="51"/>
      <c r="CL761" s="51"/>
      <c r="CM761" s="51"/>
      <c r="CN761" s="51"/>
      <c r="CO761" s="51"/>
      <c r="CP761" s="51"/>
      <c r="CQ761" s="51"/>
      <c r="CR761" s="51"/>
      <c r="CS761" s="51"/>
      <c r="CT761" s="51"/>
      <c r="CU761" s="1"/>
      <c r="CV761" s="1"/>
      <c r="CW761" s="1"/>
      <c r="CX761" s="1"/>
      <c r="CY761" s="1"/>
      <c r="CZ761" s="1"/>
    </row>
    <row r="762" spans="1:104" ht="14.25" customHeight="1">
      <c r="A762" s="1"/>
      <c r="B762" s="2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  <c r="CC762" s="51"/>
      <c r="CD762" s="51"/>
      <c r="CE762" s="51"/>
      <c r="CF762" s="51"/>
      <c r="CG762" s="51"/>
      <c r="CH762" s="51"/>
      <c r="CI762" s="51"/>
      <c r="CJ762" s="51"/>
      <c r="CK762" s="51"/>
      <c r="CL762" s="51"/>
      <c r="CM762" s="51"/>
      <c r="CN762" s="51"/>
      <c r="CO762" s="51"/>
      <c r="CP762" s="51"/>
      <c r="CQ762" s="51"/>
      <c r="CR762" s="51"/>
      <c r="CS762" s="51"/>
      <c r="CT762" s="51"/>
      <c r="CU762" s="1"/>
      <c r="CV762" s="1"/>
      <c r="CW762" s="1"/>
      <c r="CX762" s="1"/>
      <c r="CY762" s="1"/>
      <c r="CZ762" s="1"/>
    </row>
    <row r="763" spans="1:104" ht="14.25" customHeight="1">
      <c r="A763" s="1"/>
      <c r="B763" s="2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  <c r="CC763" s="51"/>
      <c r="CD763" s="51"/>
      <c r="CE763" s="51"/>
      <c r="CF763" s="51"/>
      <c r="CG763" s="51"/>
      <c r="CH763" s="51"/>
      <c r="CI763" s="51"/>
      <c r="CJ763" s="51"/>
      <c r="CK763" s="51"/>
      <c r="CL763" s="51"/>
      <c r="CM763" s="51"/>
      <c r="CN763" s="51"/>
      <c r="CO763" s="51"/>
      <c r="CP763" s="51"/>
      <c r="CQ763" s="51"/>
      <c r="CR763" s="51"/>
      <c r="CS763" s="51"/>
      <c r="CT763" s="51"/>
      <c r="CU763" s="1"/>
      <c r="CV763" s="1"/>
      <c r="CW763" s="1"/>
      <c r="CX763" s="1"/>
      <c r="CY763" s="1"/>
      <c r="CZ763" s="1"/>
    </row>
    <row r="764" spans="1:104" ht="14.25" customHeight="1">
      <c r="A764" s="1"/>
      <c r="B764" s="2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  <c r="CC764" s="51"/>
      <c r="CD764" s="51"/>
      <c r="CE764" s="51"/>
      <c r="CF764" s="51"/>
      <c r="CG764" s="51"/>
      <c r="CH764" s="51"/>
      <c r="CI764" s="51"/>
      <c r="CJ764" s="51"/>
      <c r="CK764" s="51"/>
      <c r="CL764" s="51"/>
      <c r="CM764" s="51"/>
      <c r="CN764" s="51"/>
      <c r="CO764" s="51"/>
      <c r="CP764" s="51"/>
      <c r="CQ764" s="51"/>
      <c r="CR764" s="51"/>
      <c r="CS764" s="51"/>
      <c r="CT764" s="51"/>
      <c r="CU764" s="1"/>
      <c r="CV764" s="1"/>
      <c r="CW764" s="1"/>
      <c r="CX764" s="1"/>
      <c r="CY764" s="1"/>
      <c r="CZ764" s="1"/>
    </row>
    <row r="765" spans="1:104" ht="14.25" customHeight="1">
      <c r="A765" s="1"/>
      <c r="B765" s="2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  <c r="CC765" s="51"/>
      <c r="CD765" s="51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51"/>
      <c r="CQ765" s="51"/>
      <c r="CR765" s="51"/>
      <c r="CS765" s="51"/>
      <c r="CT765" s="51"/>
      <c r="CU765" s="1"/>
      <c r="CV765" s="1"/>
      <c r="CW765" s="1"/>
      <c r="CX765" s="1"/>
      <c r="CY765" s="1"/>
      <c r="CZ765" s="1"/>
    </row>
    <row r="766" spans="1:104" ht="14.25" customHeight="1">
      <c r="A766" s="1"/>
      <c r="B766" s="2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  <c r="CC766" s="51"/>
      <c r="CD766" s="51"/>
      <c r="CE766" s="51"/>
      <c r="CF766" s="51"/>
      <c r="CG766" s="51"/>
      <c r="CH766" s="51"/>
      <c r="CI766" s="51"/>
      <c r="CJ766" s="51"/>
      <c r="CK766" s="51"/>
      <c r="CL766" s="51"/>
      <c r="CM766" s="51"/>
      <c r="CN766" s="51"/>
      <c r="CO766" s="51"/>
      <c r="CP766" s="51"/>
      <c r="CQ766" s="51"/>
      <c r="CR766" s="51"/>
      <c r="CS766" s="51"/>
      <c r="CT766" s="51"/>
      <c r="CU766" s="1"/>
      <c r="CV766" s="1"/>
      <c r="CW766" s="1"/>
      <c r="CX766" s="1"/>
      <c r="CY766" s="1"/>
      <c r="CZ766" s="1"/>
    </row>
    <row r="767" spans="1:104" ht="14.25" customHeight="1">
      <c r="A767" s="1"/>
      <c r="B767" s="2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  <c r="CC767" s="51"/>
      <c r="CD767" s="51"/>
      <c r="CE767" s="51"/>
      <c r="CF767" s="51"/>
      <c r="CG767" s="51"/>
      <c r="CH767" s="51"/>
      <c r="CI767" s="51"/>
      <c r="CJ767" s="51"/>
      <c r="CK767" s="51"/>
      <c r="CL767" s="51"/>
      <c r="CM767" s="51"/>
      <c r="CN767" s="51"/>
      <c r="CO767" s="51"/>
      <c r="CP767" s="51"/>
      <c r="CQ767" s="51"/>
      <c r="CR767" s="51"/>
      <c r="CS767" s="51"/>
      <c r="CT767" s="51"/>
      <c r="CU767" s="1"/>
      <c r="CV767" s="1"/>
      <c r="CW767" s="1"/>
      <c r="CX767" s="1"/>
      <c r="CY767" s="1"/>
      <c r="CZ767" s="1"/>
    </row>
    <row r="768" spans="1:104" ht="14.25" customHeight="1">
      <c r="A768" s="1"/>
      <c r="B768" s="2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  <c r="CC768" s="51"/>
      <c r="CD768" s="51"/>
      <c r="CE768" s="51"/>
      <c r="CF768" s="51"/>
      <c r="CG768" s="51"/>
      <c r="CH768" s="51"/>
      <c r="CI768" s="51"/>
      <c r="CJ768" s="51"/>
      <c r="CK768" s="51"/>
      <c r="CL768" s="51"/>
      <c r="CM768" s="51"/>
      <c r="CN768" s="51"/>
      <c r="CO768" s="51"/>
      <c r="CP768" s="51"/>
      <c r="CQ768" s="51"/>
      <c r="CR768" s="51"/>
      <c r="CS768" s="51"/>
      <c r="CT768" s="51"/>
      <c r="CU768" s="1"/>
      <c r="CV768" s="1"/>
      <c r="CW768" s="1"/>
      <c r="CX768" s="1"/>
      <c r="CY768" s="1"/>
      <c r="CZ768" s="1"/>
    </row>
    <row r="769" spans="1:104" ht="14.25" customHeight="1">
      <c r="A769" s="1"/>
      <c r="B769" s="2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  <c r="CC769" s="51"/>
      <c r="CD769" s="51"/>
      <c r="CE769" s="51"/>
      <c r="CF769" s="51"/>
      <c r="CG769" s="51"/>
      <c r="CH769" s="51"/>
      <c r="CI769" s="51"/>
      <c r="CJ769" s="51"/>
      <c r="CK769" s="51"/>
      <c r="CL769" s="51"/>
      <c r="CM769" s="51"/>
      <c r="CN769" s="51"/>
      <c r="CO769" s="51"/>
      <c r="CP769" s="51"/>
      <c r="CQ769" s="51"/>
      <c r="CR769" s="51"/>
      <c r="CS769" s="51"/>
      <c r="CT769" s="51"/>
      <c r="CU769" s="1"/>
      <c r="CV769" s="1"/>
      <c r="CW769" s="1"/>
      <c r="CX769" s="1"/>
      <c r="CY769" s="1"/>
      <c r="CZ769" s="1"/>
    </row>
    <row r="770" spans="1:104" ht="14.25" customHeight="1">
      <c r="A770" s="1"/>
      <c r="B770" s="2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  <c r="CC770" s="51"/>
      <c r="CD770" s="51"/>
      <c r="CE770" s="51"/>
      <c r="CF770" s="51"/>
      <c r="CG770" s="51"/>
      <c r="CH770" s="51"/>
      <c r="CI770" s="51"/>
      <c r="CJ770" s="51"/>
      <c r="CK770" s="51"/>
      <c r="CL770" s="51"/>
      <c r="CM770" s="51"/>
      <c r="CN770" s="51"/>
      <c r="CO770" s="51"/>
      <c r="CP770" s="51"/>
      <c r="CQ770" s="51"/>
      <c r="CR770" s="51"/>
      <c r="CS770" s="51"/>
      <c r="CT770" s="51"/>
      <c r="CU770" s="1"/>
      <c r="CV770" s="1"/>
      <c r="CW770" s="1"/>
      <c r="CX770" s="1"/>
      <c r="CY770" s="1"/>
      <c r="CZ770" s="1"/>
    </row>
    <row r="771" spans="1:104" ht="14.25" customHeight="1">
      <c r="A771" s="1"/>
      <c r="B771" s="2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  <c r="CC771" s="51"/>
      <c r="CD771" s="51"/>
      <c r="CE771" s="51"/>
      <c r="CF771" s="51"/>
      <c r="CG771" s="51"/>
      <c r="CH771" s="51"/>
      <c r="CI771" s="51"/>
      <c r="CJ771" s="51"/>
      <c r="CK771" s="51"/>
      <c r="CL771" s="51"/>
      <c r="CM771" s="51"/>
      <c r="CN771" s="51"/>
      <c r="CO771" s="51"/>
      <c r="CP771" s="51"/>
      <c r="CQ771" s="51"/>
      <c r="CR771" s="51"/>
      <c r="CS771" s="51"/>
      <c r="CT771" s="51"/>
      <c r="CU771" s="1"/>
      <c r="CV771" s="1"/>
      <c r="CW771" s="1"/>
      <c r="CX771" s="1"/>
      <c r="CY771" s="1"/>
      <c r="CZ771" s="1"/>
    </row>
    <row r="772" spans="1:104" ht="14.25" customHeight="1">
      <c r="A772" s="1"/>
      <c r="B772" s="2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  <c r="CC772" s="51"/>
      <c r="CD772" s="51"/>
      <c r="CE772" s="51"/>
      <c r="CF772" s="51"/>
      <c r="CG772" s="51"/>
      <c r="CH772" s="51"/>
      <c r="CI772" s="51"/>
      <c r="CJ772" s="51"/>
      <c r="CK772" s="51"/>
      <c r="CL772" s="51"/>
      <c r="CM772" s="51"/>
      <c r="CN772" s="51"/>
      <c r="CO772" s="51"/>
      <c r="CP772" s="51"/>
      <c r="CQ772" s="51"/>
      <c r="CR772" s="51"/>
      <c r="CS772" s="51"/>
      <c r="CT772" s="51"/>
      <c r="CU772" s="1"/>
      <c r="CV772" s="1"/>
      <c r="CW772" s="1"/>
      <c r="CX772" s="1"/>
      <c r="CY772" s="1"/>
      <c r="CZ772" s="1"/>
    </row>
    <row r="773" spans="1:104" ht="14.25" customHeight="1">
      <c r="A773" s="1"/>
      <c r="B773" s="2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  <c r="CO773" s="51"/>
      <c r="CP773" s="51"/>
      <c r="CQ773" s="51"/>
      <c r="CR773" s="51"/>
      <c r="CS773" s="51"/>
      <c r="CT773" s="51"/>
      <c r="CU773" s="1"/>
      <c r="CV773" s="1"/>
      <c r="CW773" s="1"/>
      <c r="CX773" s="1"/>
      <c r="CY773" s="1"/>
      <c r="CZ773" s="1"/>
    </row>
    <row r="774" spans="1:104" ht="14.25" customHeight="1">
      <c r="A774" s="1"/>
      <c r="B774" s="2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  <c r="CC774" s="51"/>
      <c r="CD774" s="51"/>
      <c r="CE774" s="51"/>
      <c r="CF774" s="51"/>
      <c r="CG774" s="51"/>
      <c r="CH774" s="51"/>
      <c r="CI774" s="51"/>
      <c r="CJ774" s="51"/>
      <c r="CK774" s="51"/>
      <c r="CL774" s="51"/>
      <c r="CM774" s="51"/>
      <c r="CN774" s="51"/>
      <c r="CO774" s="51"/>
      <c r="CP774" s="51"/>
      <c r="CQ774" s="51"/>
      <c r="CR774" s="51"/>
      <c r="CS774" s="51"/>
      <c r="CT774" s="51"/>
      <c r="CU774" s="1"/>
      <c r="CV774" s="1"/>
      <c r="CW774" s="1"/>
      <c r="CX774" s="1"/>
      <c r="CY774" s="1"/>
      <c r="CZ774" s="1"/>
    </row>
    <row r="775" spans="1:104" ht="14.25" customHeight="1">
      <c r="A775" s="1"/>
      <c r="B775" s="2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  <c r="CC775" s="51"/>
      <c r="CD775" s="51"/>
      <c r="CE775" s="51"/>
      <c r="CF775" s="51"/>
      <c r="CG775" s="51"/>
      <c r="CH775" s="51"/>
      <c r="CI775" s="51"/>
      <c r="CJ775" s="51"/>
      <c r="CK775" s="51"/>
      <c r="CL775" s="51"/>
      <c r="CM775" s="51"/>
      <c r="CN775" s="51"/>
      <c r="CO775" s="51"/>
      <c r="CP775" s="51"/>
      <c r="CQ775" s="51"/>
      <c r="CR775" s="51"/>
      <c r="CS775" s="51"/>
      <c r="CT775" s="51"/>
      <c r="CU775" s="1"/>
      <c r="CV775" s="1"/>
      <c r="CW775" s="1"/>
      <c r="CX775" s="1"/>
      <c r="CY775" s="1"/>
      <c r="CZ775" s="1"/>
    </row>
    <row r="776" spans="1:104" ht="14.25" customHeight="1">
      <c r="A776" s="1"/>
      <c r="B776" s="2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51"/>
      <c r="CQ776" s="51"/>
      <c r="CR776" s="51"/>
      <c r="CS776" s="51"/>
      <c r="CT776" s="51"/>
      <c r="CU776" s="1"/>
      <c r="CV776" s="1"/>
      <c r="CW776" s="1"/>
      <c r="CX776" s="1"/>
      <c r="CY776" s="1"/>
      <c r="CZ776" s="1"/>
    </row>
    <row r="777" spans="1:104" ht="14.25" customHeight="1">
      <c r="A777" s="1"/>
      <c r="B777" s="2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  <c r="CC777" s="51"/>
      <c r="CD777" s="51"/>
      <c r="CE777" s="51"/>
      <c r="CF777" s="51"/>
      <c r="CG777" s="51"/>
      <c r="CH777" s="51"/>
      <c r="CI777" s="51"/>
      <c r="CJ777" s="51"/>
      <c r="CK777" s="51"/>
      <c r="CL777" s="51"/>
      <c r="CM777" s="51"/>
      <c r="CN777" s="51"/>
      <c r="CO777" s="51"/>
      <c r="CP777" s="51"/>
      <c r="CQ777" s="51"/>
      <c r="CR777" s="51"/>
      <c r="CS777" s="51"/>
      <c r="CT777" s="51"/>
      <c r="CU777" s="1"/>
      <c r="CV777" s="1"/>
      <c r="CW777" s="1"/>
      <c r="CX777" s="1"/>
      <c r="CY777" s="1"/>
      <c r="CZ777" s="1"/>
    </row>
    <row r="778" spans="1:104" ht="14.25" customHeight="1">
      <c r="A778" s="1"/>
      <c r="B778" s="2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  <c r="CC778" s="51"/>
      <c r="CD778" s="51"/>
      <c r="CE778" s="51"/>
      <c r="CF778" s="51"/>
      <c r="CG778" s="51"/>
      <c r="CH778" s="51"/>
      <c r="CI778" s="51"/>
      <c r="CJ778" s="51"/>
      <c r="CK778" s="51"/>
      <c r="CL778" s="51"/>
      <c r="CM778" s="51"/>
      <c r="CN778" s="51"/>
      <c r="CO778" s="51"/>
      <c r="CP778" s="51"/>
      <c r="CQ778" s="51"/>
      <c r="CR778" s="51"/>
      <c r="CS778" s="51"/>
      <c r="CT778" s="51"/>
      <c r="CU778" s="1"/>
      <c r="CV778" s="1"/>
      <c r="CW778" s="1"/>
      <c r="CX778" s="1"/>
      <c r="CY778" s="1"/>
      <c r="CZ778" s="1"/>
    </row>
    <row r="779" spans="1:104" ht="14.25" customHeight="1">
      <c r="A779" s="1"/>
      <c r="B779" s="2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  <c r="CC779" s="51"/>
      <c r="CD779" s="51"/>
      <c r="CE779" s="51"/>
      <c r="CF779" s="51"/>
      <c r="CG779" s="51"/>
      <c r="CH779" s="51"/>
      <c r="CI779" s="51"/>
      <c r="CJ779" s="51"/>
      <c r="CK779" s="51"/>
      <c r="CL779" s="51"/>
      <c r="CM779" s="51"/>
      <c r="CN779" s="51"/>
      <c r="CO779" s="51"/>
      <c r="CP779" s="51"/>
      <c r="CQ779" s="51"/>
      <c r="CR779" s="51"/>
      <c r="CS779" s="51"/>
      <c r="CT779" s="51"/>
      <c r="CU779" s="1"/>
      <c r="CV779" s="1"/>
      <c r="CW779" s="1"/>
      <c r="CX779" s="1"/>
      <c r="CY779" s="1"/>
      <c r="CZ779" s="1"/>
    </row>
    <row r="780" spans="1:104" ht="14.25" customHeight="1">
      <c r="A780" s="1"/>
      <c r="B780" s="2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  <c r="CC780" s="51"/>
      <c r="CD780" s="51"/>
      <c r="CE780" s="51"/>
      <c r="CF780" s="51"/>
      <c r="CG780" s="51"/>
      <c r="CH780" s="51"/>
      <c r="CI780" s="51"/>
      <c r="CJ780" s="51"/>
      <c r="CK780" s="51"/>
      <c r="CL780" s="51"/>
      <c r="CM780" s="51"/>
      <c r="CN780" s="51"/>
      <c r="CO780" s="51"/>
      <c r="CP780" s="51"/>
      <c r="CQ780" s="51"/>
      <c r="CR780" s="51"/>
      <c r="CS780" s="51"/>
      <c r="CT780" s="51"/>
      <c r="CU780" s="1"/>
      <c r="CV780" s="1"/>
      <c r="CW780" s="1"/>
      <c r="CX780" s="1"/>
      <c r="CY780" s="1"/>
      <c r="CZ780" s="1"/>
    </row>
    <row r="781" spans="1:104" ht="14.25" customHeight="1">
      <c r="A781" s="1"/>
      <c r="B781" s="2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1"/>
      <c r="CA781" s="51"/>
      <c r="CB781" s="51"/>
      <c r="CC781" s="51"/>
      <c r="CD781" s="51"/>
      <c r="CE781" s="51"/>
      <c r="CF781" s="51"/>
      <c r="CG781" s="51"/>
      <c r="CH781" s="51"/>
      <c r="CI781" s="51"/>
      <c r="CJ781" s="51"/>
      <c r="CK781" s="51"/>
      <c r="CL781" s="51"/>
      <c r="CM781" s="51"/>
      <c r="CN781" s="51"/>
      <c r="CO781" s="51"/>
      <c r="CP781" s="51"/>
      <c r="CQ781" s="51"/>
      <c r="CR781" s="51"/>
      <c r="CS781" s="51"/>
      <c r="CT781" s="51"/>
      <c r="CU781" s="1"/>
      <c r="CV781" s="1"/>
      <c r="CW781" s="1"/>
      <c r="CX781" s="1"/>
      <c r="CY781" s="1"/>
      <c r="CZ781" s="1"/>
    </row>
    <row r="782" spans="1:104" ht="14.25" customHeight="1">
      <c r="A782" s="1"/>
      <c r="B782" s="2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  <c r="CC782" s="51"/>
      <c r="CD782" s="51"/>
      <c r="CE782" s="51"/>
      <c r="CF782" s="51"/>
      <c r="CG782" s="51"/>
      <c r="CH782" s="51"/>
      <c r="CI782" s="51"/>
      <c r="CJ782" s="51"/>
      <c r="CK782" s="51"/>
      <c r="CL782" s="51"/>
      <c r="CM782" s="51"/>
      <c r="CN782" s="51"/>
      <c r="CO782" s="51"/>
      <c r="CP782" s="51"/>
      <c r="CQ782" s="51"/>
      <c r="CR782" s="51"/>
      <c r="CS782" s="51"/>
      <c r="CT782" s="51"/>
      <c r="CU782" s="1"/>
      <c r="CV782" s="1"/>
      <c r="CW782" s="1"/>
      <c r="CX782" s="1"/>
      <c r="CY782" s="1"/>
      <c r="CZ782" s="1"/>
    </row>
    <row r="783" spans="1:104" ht="14.25" customHeight="1">
      <c r="A783" s="1"/>
      <c r="B783" s="2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  <c r="CC783" s="51"/>
      <c r="CD783" s="51"/>
      <c r="CE783" s="51"/>
      <c r="CF783" s="51"/>
      <c r="CG783" s="51"/>
      <c r="CH783" s="51"/>
      <c r="CI783" s="51"/>
      <c r="CJ783" s="51"/>
      <c r="CK783" s="51"/>
      <c r="CL783" s="51"/>
      <c r="CM783" s="51"/>
      <c r="CN783" s="51"/>
      <c r="CO783" s="51"/>
      <c r="CP783" s="51"/>
      <c r="CQ783" s="51"/>
      <c r="CR783" s="51"/>
      <c r="CS783" s="51"/>
      <c r="CT783" s="51"/>
      <c r="CU783" s="1"/>
      <c r="CV783" s="1"/>
      <c r="CW783" s="1"/>
      <c r="CX783" s="1"/>
      <c r="CY783" s="1"/>
      <c r="CZ783" s="1"/>
    </row>
    <row r="784" spans="1:104" ht="14.25" customHeight="1">
      <c r="A784" s="1"/>
      <c r="B784" s="2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  <c r="CC784" s="51"/>
      <c r="CD784" s="51"/>
      <c r="CE784" s="51"/>
      <c r="CF784" s="51"/>
      <c r="CG784" s="51"/>
      <c r="CH784" s="51"/>
      <c r="CI784" s="51"/>
      <c r="CJ784" s="51"/>
      <c r="CK784" s="51"/>
      <c r="CL784" s="51"/>
      <c r="CM784" s="51"/>
      <c r="CN784" s="51"/>
      <c r="CO784" s="51"/>
      <c r="CP784" s="51"/>
      <c r="CQ784" s="51"/>
      <c r="CR784" s="51"/>
      <c r="CS784" s="51"/>
      <c r="CT784" s="51"/>
      <c r="CU784" s="1"/>
      <c r="CV784" s="1"/>
      <c r="CW784" s="1"/>
      <c r="CX784" s="1"/>
      <c r="CY784" s="1"/>
      <c r="CZ784" s="1"/>
    </row>
    <row r="785" spans="1:104" ht="14.25" customHeight="1">
      <c r="A785" s="1"/>
      <c r="B785" s="2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  <c r="CC785" s="51"/>
      <c r="CD785" s="51"/>
      <c r="CE785" s="51"/>
      <c r="CF785" s="51"/>
      <c r="CG785" s="51"/>
      <c r="CH785" s="51"/>
      <c r="CI785" s="51"/>
      <c r="CJ785" s="51"/>
      <c r="CK785" s="51"/>
      <c r="CL785" s="51"/>
      <c r="CM785" s="51"/>
      <c r="CN785" s="51"/>
      <c r="CO785" s="51"/>
      <c r="CP785" s="51"/>
      <c r="CQ785" s="51"/>
      <c r="CR785" s="51"/>
      <c r="CS785" s="51"/>
      <c r="CT785" s="51"/>
      <c r="CU785" s="1"/>
      <c r="CV785" s="1"/>
      <c r="CW785" s="1"/>
      <c r="CX785" s="1"/>
      <c r="CY785" s="1"/>
      <c r="CZ785" s="1"/>
    </row>
    <row r="786" spans="1:104" ht="14.25" customHeight="1">
      <c r="A786" s="1"/>
      <c r="B786" s="2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1"/>
      <c r="CA786" s="51"/>
      <c r="CB786" s="51"/>
      <c r="CC786" s="51"/>
      <c r="CD786" s="51"/>
      <c r="CE786" s="51"/>
      <c r="CF786" s="51"/>
      <c r="CG786" s="51"/>
      <c r="CH786" s="51"/>
      <c r="CI786" s="51"/>
      <c r="CJ786" s="51"/>
      <c r="CK786" s="51"/>
      <c r="CL786" s="51"/>
      <c r="CM786" s="51"/>
      <c r="CN786" s="51"/>
      <c r="CO786" s="51"/>
      <c r="CP786" s="51"/>
      <c r="CQ786" s="51"/>
      <c r="CR786" s="51"/>
      <c r="CS786" s="51"/>
      <c r="CT786" s="51"/>
      <c r="CU786" s="1"/>
      <c r="CV786" s="1"/>
      <c r="CW786" s="1"/>
      <c r="CX786" s="1"/>
      <c r="CY786" s="1"/>
      <c r="CZ786" s="1"/>
    </row>
    <row r="787" spans="1:104" ht="14.25" customHeight="1">
      <c r="A787" s="1"/>
      <c r="B787" s="2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  <c r="CC787" s="51"/>
      <c r="CD787" s="51"/>
      <c r="CE787" s="51"/>
      <c r="CF787" s="51"/>
      <c r="CG787" s="51"/>
      <c r="CH787" s="51"/>
      <c r="CI787" s="51"/>
      <c r="CJ787" s="51"/>
      <c r="CK787" s="51"/>
      <c r="CL787" s="51"/>
      <c r="CM787" s="51"/>
      <c r="CN787" s="51"/>
      <c r="CO787" s="51"/>
      <c r="CP787" s="51"/>
      <c r="CQ787" s="51"/>
      <c r="CR787" s="51"/>
      <c r="CS787" s="51"/>
      <c r="CT787" s="51"/>
      <c r="CU787" s="1"/>
      <c r="CV787" s="1"/>
      <c r="CW787" s="1"/>
      <c r="CX787" s="1"/>
      <c r="CY787" s="1"/>
      <c r="CZ787" s="1"/>
    </row>
    <row r="788" spans="1:104" ht="14.25" customHeight="1">
      <c r="A788" s="1"/>
      <c r="B788" s="2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  <c r="CC788" s="51"/>
      <c r="CD788" s="51"/>
      <c r="CE788" s="51"/>
      <c r="CF788" s="51"/>
      <c r="CG788" s="51"/>
      <c r="CH788" s="51"/>
      <c r="CI788" s="51"/>
      <c r="CJ788" s="51"/>
      <c r="CK788" s="51"/>
      <c r="CL788" s="51"/>
      <c r="CM788" s="51"/>
      <c r="CN788" s="51"/>
      <c r="CO788" s="51"/>
      <c r="CP788" s="51"/>
      <c r="CQ788" s="51"/>
      <c r="CR788" s="51"/>
      <c r="CS788" s="51"/>
      <c r="CT788" s="51"/>
      <c r="CU788" s="1"/>
      <c r="CV788" s="1"/>
      <c r="CW788" s="1"/>
      <c r="CX788" s="1"/>
      <c r="CY788" s="1"/>
      <c r="CZ788" s="1"/>
    </row>
    <row r="789" spans="1:104" ht="14.25" customHeight="1">
      <c r="A789" s="1"/>
      <c r="B789" s="2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  <c r="CC789" s="51"/>
      <c r="CD789" s="51"/>
      <c r="CE789" s="51"/>
      <c r="CF789" s="51"/>
      <c r="CG789" s="51"/>
      <c r="CH789" s="51"/>
      <c r="CI789" s="51"/>
      <c r="CJ789" s="51"/>
      <c r="CK789" s="51"/>
      <c r="CL789" s="51"/>
      <c r="CM789" s="51"/>
      <c r="CN789" s="51"/>
      <c r="CO789" s="51"/>
      <c r="CP789" s="51"/>
      <c r="CQ789" s="51"/>
      <c r="CR789" s="51"/>
      <c r="CS789" s="51"/>
      <c r="CT789" s="51"/>
      <c r="CU789" s="1"/>
      <c r="CV789" s="1"/>
      <c r="CW789" s="1"/>
      <c r="CX789" s="1"/>
      <c r="CY789" s="1"/>
      <c r="CZ789" s="1"/>
    </row>
    <row r="790" spans="1:104" ht="14.25" customHeight="1">
      <c r="A790" s="1"/>
      <c r="B790" s="2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  <c r="CC790" s="51"/>
      <c r="CD790" s="51"/>
      <c r="CE790" s="51"/>
      <c r="CF790" s="51"/>
      <c r="CG790" s="51"/>
      <c r="CH790" s="51"/>
      <c r="CI790" s="51"/>
      <c r="CJ790" s="51"/>
      <c r="CK790" s="51"/>
      <c r="CL790" s="51"/>
      <c r="CM790" s="51"/>
      <c r="CN790" s="51"/>
      <c r="CO790" s="51"/>
      <c r="CP790" s="51"/>
      <c r="CQ790" s="51"/>
      <c r="CR790" s="51"/>
      <c r="CS790" s="51"/>
      <c r="CT790" s="51"/>
      <c r="CU790" s="1"/>
      <c r="CV790" s="1"/>
      <c r="CW790" s="1"/>
      <c r="CX790" s="1"/>
      <c r="CY790" s="1"/>
      <c r="CZ790" s="1"/>
    </row>
    <row r="791" spans="1:104" ht="14.25" customHeight="1">
      <c r="A791" s="1"/>
      <c r="B791" s="2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  <c r="CC791" s="51"/>
      <c r="CD791" s="51"/>
      <c r="CE791" s="51"/>
      <c r="CF791" s="51"/>
      <c r="CG791" s="51"/>
      <c r="CH791" s="51"/>
      <c r="CI791" s="51"/>
      <c r="CJ791" s="51"/>
      <c r="CK791" s="51"/>
      <c r="CL791" s="51"/>
      <c r="CM791" s="51"/>
      <c r="CN791" s="51"/>
      <c r="CO791" s="51"/>
      <c r="CP791" s="51"/>
      <c r="CQ791" s="51"/>
      <c r="CR791" s="51"/>
      <c r="CS791" s="51"/>
      <c r="CT791" s="51"/>
      <c r="CU791" s="1"/>
      <c r="CV791" s="1"/>
      <c r="CW791" s="1"/>
      <c r="CX791" s="1"/>
      <c r="CY791" s="1"/>
      <c r="CZ791" s="1"/>
    </row>
    <row r="792" spans="1:104" ht="14.25" customHeight="1">
      <c r="A792" s="1"/>
      <c r="B792" s="2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  <c r="CC792" s="51"/>
      <c r="CD792" s="51"/>
      <c r="CE792" s="51"/>
      <c r="CF792" s="51"/>
      <c r="CG792" s="51"/>
      <c r="CH792" s="51"/>
      <c r="CI792" s="51"/>
      <c r="CJ792" s="51"/>
      <c r="CK792" s="51"/>
      <c r="CL792" s="51"/>
      <c r="CM792" s="51"/>
      <c r="CN792" s="51"/>
      <c r="CO792" s="51"/>
      <c r="CP792" s="51"/>
      <c r="CQ792" s="51"/>
      <c r="CR792" s="51"/>
      <c r="CS792" s="51"/>
      <c r="CT792" s="51"/>
      <c r="CU792" s="1"/>
      <c r="CV792" s="1"/>
      <c r="CW792" s="1"/>
      <c r="CX792" s="1"/>
      <c r="CY792" s="1"/>
      <c r="CZ792" s="1"/>
    </row>
    <row r="793" spans="1:104" ht="14.25" customHeight="1">
      <c r="A793" s="1"/>
      <c r="B793" s="2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  <c r="CC793" s="51"/>
      <c r="CD793" s="51"/>
      <c r="CE793" s="51"/>
      <c r="CF793" s="51"/>
      <c r="CG793" s="51"/>
      <c r="CH793" s="51"/>
      <c r="CI793" s="51"/>
      <c r="CJ793" s="51"/>
      <c r="CK793" s="51"/>
      <c r="CL793" s="51"/>
      <c r="CM793" s="51"/>
      <c r="CN793" s="51"/>
      <c r="CO793" s="51"/>
      <c r="CP793" s="51"/>
      <c r="CQ793" s="51"/>
      <c r="CR793" s="51"/>
      <c r="CS793" s="51"/>
      <c r="CT793" s="51"/>
      <c r="CU793" s="1"/>
      <c r="CV793" s="1"/>
      <c r="CW793" s="1"/>
      <c r="CX793" s="1"/>
      <c r="CY793" s="1"/>
      <c r="CZ793" s="1"/>
    </row>
    <row r="794" spans="1:104" ht="14.25" customHeight="1">
      <c r="A794" s="1"/>
      <c r="B794" s="2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  <c r="CC794" s="51"/>
      <c r="CD794" s="51"/>
      <c r="CE794" s="51"/>
      <c r="CF794" s="51"/>
      <c r="CG794" s="51"/>
      <c r="CH794" s="51"/>
      <c r="CI794" s="51"/>
      <c r="CJ794" s="51"/>
      <c r="CK794" s="51"/>
      <c r="CL794" s="51"/>
      <c r="CM794" s="51"/>
      <c r="CN794" s="51"/>
      <c r="CO794" s="51"/>
      <c r="CP794" s="51"/>
      <c r="CQ794" s="51"/>
      <c r="CR794" s="51"/>
      <c r="CS794" s="51"/>
      <c r="CT794" s="51"/>
      <c r="CU794" s="1"/>
      <c r="CV794" s="1"/>
      <c r="CW794" s="1"/>
      <c r="CX794" s="1"/>
      <c r="CY794" s="1"/>
      <c r="CZ794" s="1"/>
    </row>
    <row r="795" spans="1:104" ht="14.25" customHeight="1">
      <c r="A795" s="1"/>
      <c r="B795" s="2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1"/>
      <c r="CA795" s="51"/>
      <c r="CB795" s="51"/>
      <c r="CC795" s="51"/>
      <c r="CD795" s="51"/>
      <c r="CE795" s="51"/>
      <c r="CF795" s="51"/>
      <c r="CG795" s="51"/>
      <c r="CH795" s="51"/>
      <c r="CI795" s="51"/>
      <c r="CJ795" s="51"/>
      <c r="CK795" s="51"/>
      <c r="CL795" s="51"/>
      <c r="CM795" s="51"/>
      <c r="CN795" s="51"/>
      <c r="CO795" s="51"/>
      <c r="CP795" s="51"/>
      <c r="CQ795" s="51"/>
      <c r="CR795" s="51"/>
      <c r="CS795" s="51"/>
      <c r="CT795" s="51"/>
      <c r="CU795" s="1"/>
      <c r="CV795" s="1"/>
      <c r="CW795" s="1"/>
      <c r="CX795" s="1"/>
      <c r="CY795" s="1"/>
      <c r="CZ795" s="1"/>
    </row>
    <row r="796" spans="1:104" ht="14.25" customHeight="1">
      <c r="A796" s="1"/>
      <c r="B796" s="2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  <c r="CC796" s="51"/>
      <c r="CD796" s="51"/>
      <c r="CE796" s="51"/>
      <c r="CF796" s="51"/>
      <c r="CG796" s="51"/>
      <c r="CH796" s="51"/>
      <c r="CI796" s="51"/>
      <c r="CJ796" s="51"/>
      <c r="CK796" s="51"/>
      <c r="CL796" s="51"/>
      <c r="CM796" s="51"/>
      <c r="CN796" s="51"/>
      <c r="CO796" s="51"/>
      <c r="CP796" s="51"/>
      <c r="CQ796" s="51"/>
      <c r="CR796" s="51"/>
      <c r="CS796" s="51"/>
      <c r="CT796" s="51"/>
      <c r="CU796" s="1"/>
      <c r="CV796" s="1"/>
      <c r="CW796" s="1"/>
      <c r="CX796" s="1"/>
      <c r="CY796" s="1"/>
      <c r="CZ796" s="1"/>
    </row>
    <row r="797" spans="1:104" ht="14.25" customHeight="1">
      <c r="A797" s="1"/>
      <c r="B797" s="2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  <c r="CC797" s="51"/>
      <c r="CD797" s="51"/>
      <c r="CE797" s="51"/>
      <c r="CF797" s="51"/>
      <c r="CG797" s="51"/>
      <c r="CH797" s="51"/>
      <c r="CI797" s="51"/>
      <c r="CJ797" s="51"/>
      <c r="CK797" s="51"/>
      <c r="CL797" s="51"/>
      <c r="CM797" s="51"/>
      <c r="CN797" s="51"/>
      <c r="CO797" s="51"/>
      <c r="CP797" s="51"/>
      <c r="CQ797" s="51"/>
      <c r="CR797" s="51"/>
      <c r="CS797" s="51"/>
      <c r="CT797" s="51"/>
      <c r="CU797" s="1"/>
      <c r="CV797" s="1"/>
      <c r="CW797" s="1"/>
      <c r="CX797" s="1"/>
      <c r="CY797" s="1"/>
      <c r="CZ797" s="1"/>
    </row>
    <row r="798" spans="1:104" ht="14.25" customHeight="1">
      <c r="A798" s="1"/>
      <c r="B798" s="2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  <c r="CC798" s="51"/>
      <c r="CD798" s="51"/>
      <c r="CE798" s="51"/>
      <c r="CF798" s="51"/>
      <c r="CG798" s="51"/>
      <c r="CH798" s="51"/>
      <c r="CI798" s="51"/>
      <c r="CJ798" s="51"/>
      <c r="CK798" s="51"/>
      <c r="CL798" s="51"/>
      <c r="CM798" s="51"/>
      <c r="CN798" s="51"/>
      <c r="CO798" s="51"/>
      <c r="CP798" s="51"/>
      <c r="CQ798" s="51"/>
      <c r="CR798" s="51"/>
      <c r="CS798" s="51"/>
      <c r="CT798" s="51"/>
      <c r="CU798" s="1"/>
      <c r="CV798" s="1"/>
      <c r="CW798" s="1"/>
      <c r="CX798" s="1"/>
      <c r="CY798" s="1"/>
      <c r="CZ798" s="1"/>
    </row>
    <row r="799" spans="1:104" ht="14.25" customHeight="1">
      <c r="A799" s="1"/>
      <c r="B799" s="2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  <c r="CC799" s="51"/>
      <c r="CD799" s="51"/>
      <c r="CE799" s="51"/>
      <c r="CF799" s="51"/>
      <c r="CG799" s="51"/>
      <c r="CH799" s="51"/>
      <c r="CI799" s="51"/>
      <c r="CJ799" s="51"/>
      <c r="CK799" s="51"/>
      <c r="CL799" s="51"/>
      <c r="CM799" s="51"/>
      <c r="CN799" s="51"/>
      <c r="CO799" s="51"/>
      <c r="CP799" s="51"/>
      <c r="CQ799" s="51"/>
      <c r="CR799" s="51"/>
      <c r="CS799" s="51"/>
      <c r="CT799" s="51"/>
      <c r="CU799" s="1"/>
      <c r="CV799" s="1"/>
      <c r="CW799" s="1"/>
      <c r="CX799" s="1"/>
      <c r="CY799" s="1"/>
      <c r="CZ799" s="1"/>
    </row>
    <row r="800" spans="1:104" ht="14.25" customHeight="1">
      <c r="A800" s="1"/>
      <c r="B800" s="2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  <c r="CO800" s="51"/>
      <c r="CP800" s="51"/>
      <c r="CQ800" s="51"/>
      <c r="CR800" s="51"/>
      <c r="CS800" s="51"/>
      <c r="CT800" s="51"/>
      <c r="CU800" s="1"/>
      <c r="CV800" s="1"/>
      <c r="CW800" s="1"/>
      <c r="CX800" s="1"/>
      <c r="CY800" s="1"/>
      <c r="CZ800" s="1"/>
    </row>
    <row r="801" spans="1:104" ht="14.25" customHeight="1">
      <c r="A801" s="1"/>
      <c r="B801" s="2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  <c r="CC801" s="51"/>
      <c r="CD801" s="51"/>
      <c r="CE801" s="51"/>
      <c r="CF801" s="51"/>
      <c r="CG801" s="51"/>
      <c r="CH801" s="51"/>
      <c r="CI801" s="51"/>
      <c r="CJ801" s="51"/>
      <c r="CK801" s="51"/>
      <c r="CL801" s="51"/>
      <c r="CM801" s="51"/>
      <c r="CN801" s="51"/>
      <c r="CO801" s="51"/>
      <c r="CP801" s="51"/>
      <c r="CQ801" s="51"/>
      <c r="CR801" s="51"/>
      <c r="CS801" s="51"/>
      <c r="CT801" s="51"/>
      <c r="CU801" s="1"/>
      <c r="CV801" s="1"/>
      <c r="CW801" s="1"/>
      <c r="CX801" s="1"/>
      <c r="CY801" s="1"/>
      <c r="CZ801" s="1"/>
    </row>
    <row r="802" spans="1:104" ht="14.25" customHeight="1">
      <c r="A802" s="1"/>
      <c r="B802" s="2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  <c r="CC802" s="51"/>
      <c r="CD802" s="51"/>
      <c r="CE802" s="51"/>
      <c r="CF802" s="51"/>
      <c r="CG802" s="51"/>
      <c r="CH802" s="51"/>
      <c r="CI802" s="51"/>
      <c r="CJ802" s="51"/>
      <c r="CK802" s="51"/>
      <c r="CL802" s="51"/>
      <c r="CM802" s="51"/>
      <c r="CN802" s="51"/>
      <c r="CO802" s="51"/>
      <c r="CP802" s="51"/>
      <c r="CQ802" s="51"/>
      <c r="CR802" s="51"/>
      <c r="CS802" s="51"/>
      <c r="CT802" s="51"/>
      <c r="CU802" s="1"/>
      <c r="CV802" s="1"/>
      <c r="CW802" s="1"/>
      <c r="CX802" s="1"/>
      <c r="CY802" s="1"/>
      <c r="CZ802" s="1"/>
    </row>
    <row r="803" spans="1:104" ht="14.25" customHeight="1">
      <c r="A803" s="1"/>
      <c r="B803" s="2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  <c r="CC803" s="51"/>
      <c r="CD803" s="51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  <c r="CO803" s="51"/>
      <c r="CP803" s="51"/>
      <c r="CQ803" s="51"/>
      <c r="CR803" s="51"/>
      <c r="CS803" s="51"/>
      <c r="CT803" s="51"/>
      <c r="CU803" s="1"/>
      <c r="CV803" s="1"/>
      <c r="CW803" s="1"/>
      <c r="CX803" s="1"/>
      <c r="CY803" s="1"/>
      <c r="CZ803" s="1"/>
    </row>
    <row r="804" spans="1:104" ht="14.25" customHeight="1">
      <c r="A804" s="1"/>
      <c r="B804" s="2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  <c r="CC804" s="51"/>
      <c r="CD804" s="51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51"/>
      <c r="CQ804" s="51"/>
      <c r="CR804" s="51"/>
      <c r="CS804" s="51"/>
      <c r="CT804" s="51"/>
      <c r="CU804" s="1"/>
      <c r="CV804" s="1"/>
      <c r="CW804" s="1"/>
      <c r="CX804" s="1"/>
      <c r="CY804" s="1"/>
      <c r="CZ804" s="1"/>
    </row>
    <row r="805" spans="1:104" ht="14.25" customHeight="1">
      <c r="A805" s="1"/>
      <c r="B805" s="2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  <c r="CC805" s="51"/>
      <c r="CD805" s="51"/>
      <c r="CE805" s="51"/>
      <c r="CF805" s="51"/>
      <c r="CG805" s="51"/>
      <c r="CH805" s="51"/>
      <c r="CI805" s="51"/>
      <c r="CJ805" s="51"/>
      <c r="CK805" s="51"/>
      <c r="CL805" s="51"/>
      <c r="CM805" s="51"/>
      <c r="CN805" s="51"/>
      <c r="CO805" s="51"/>
      <c r="CP805" s="51"/>
      <c r="CQ805" s="51"/>
      <c r="CR805" s="51"/>
      <c r="CS805" s="51"/>
      <c r="CT805" s="51"/>
      <c r="CU805" s="1"/>
      <c r="CV805" s="1"/>
      <c r="CW805" s="1"/>
      <c r="CX805" s="1"/>
      <c r="CY805" s="1"/>
      <c r="CZ805" s="1"/>
    </row>
    <row r="806" spans="1:104" ht="14.25" customHeight="1">
      <c r="A806" s="1"/>
      <c r="B806" s="2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  <c r="CC806" s="51"/>
      <c r="CD806" s="51"/>
      <c r="CE806" s="51"/>
      <c r="CF806" s="51"/>
      <c r="CG806" s="51"/>
      <c r="CH806" s="51"/>
      <c r="CI806" s="51"/>
      <c r="CJ806" s="51"/>
      <c r="CK806" s="51"/>
      <c r="CL806" s="51"/>
      <c r="CM806" s="51"/>
      <c r="CN806" s="51"/>
      <c r="CO806" s="51"/>
      <c r="CP806" s="51"/>
      <c r="CQ806" s="51"/>
      <c r="CR806" s="51"/>
      <c r="CS806" s="51"/>
      <c r="CT806" s="51"/>
      <c r="CU806" s="1"/>
      <c r="CV806" s="1"/>
      <c r="CW806" s="1"/>
      <c r="CX806" s="1"/>
      <c r="CY806" s="1"/>
      <c r="CZ806" s="1"/>
    </row>
    <row r="807" spans="1:104" ht="14.25" customHeight="1">
      <c r="A807" s="1"/>
      <c r="B807" s="2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  <c r="CC807" s="51"/>
      <c r="CD807" s="51"/>
      <c r="CE807" s="51"/>
      <c r="CF807" s="51"/>
      <c r="CG807" s="51"/>
      <c r="CH807" s="51"/>
      <c r="CI807" s="51"/>
      <c r="CJ807" s="51"/>
      <c r="CK807" s="51"/>
      <c r="CL807" s="51"/>
      <c r="CM807" s="51"/>
      <c r="CN807" s="51"/>
      <c r="CO807" s="51"/>
      <c r="CP807" s="51"/>
      <c r="CQ807" s="51"/>
      <c r="CR807" s="51"/>
      <c r="CS807" s="51"/>
      <c r="CT807" s="51"/>
      <c r="CU807" s="1"/>
      <c r="CV807" s="1"/>
      <c r="CW807" s="1"/>
      <c r="CX807" s="1"/>
      <c r="CY807" s="1"/>
      <c r="CZ807" s="1"/>
    </row>
    <row r="808" spans="1:104" ht="14.25" customHeight="1">
      <c r="A808" s="1"/>
      <c r="B808" s="2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  <c r="CC808" s="51"/>
      <c r="CD808" s="51"/>
      <c r="CE808" s="51"/>
      <c r="CF808" s="51"/>
      <c r="CG808" s="51"/>
      <c r="CH808" s="51"/>
      <c r="CI808" s="51"/>
      <c r="CJ808" s="51"/>
      <c r="CK808" s="51"/>
      <c r="CL808" s="51"/>
      <c r="CM808" s="51"/>
      <c r="CN808" s="51"/>
      <c r="CO808" s="51"/>
      <c r="CP808" s="51"/>
      <c r="CQ808" s="51"/>
      <c r="CR808" s="51"/>
      <c r="CS808" s="51"/>
      <c r="CT808" s="51"/>
      <c r="CU808" s="1"/>
      <c r="CV808" s="1"/>
      <c r="CW808" s="1"/>
      <c r="CX808" s="1"/>
      <c r="CY808" s="1"/>
      <c r="CZ808" s="1"/>
    </row>
    <row r="809" spans="1:104" ht="14.25" customHeight="1">
      <c r="A809" s="1"/>
      <c r="B809" s="2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  <c r="CR809" s="51"/>
      <c r="CS809" s="51"/>
      <c r="CT809" s="51"/>
      <c r="CU809" s="1"/>
      <c r="CV809" s="1"/>
      <c r="CW809" s="1"/>
      <c r="CX809" s="1"/>
      <c r="CY809" s="1"/>
      <c r="CZ809" s="1"/>
    </row>
    <row r="810" spans="1:104" ht="14.25" customHeight="1">
      <c r="A810" s="1"/>
      <c r="B810" s="2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  <c r="CC810" s="51"/>
      <c r="CD810" s="51"/>
      <c r="CE810" s="51"/>
      <c r="CF810" s="51"/>
      <c r="CG810" s="51"/>
      <c r="CH810" s="51"/>
      <c r="CI810" s="51"/>
      <c r="CJ810" s="51"/>
      <c r="CK810" s="51"/>
      <c r="CL810" s="51"/>
      <c r="CM810" s="51"/>
      <c r="CN810" s="51"/>
      <c r="CO810" s="51"/>
      <c r="CP810" s="51"/>
      <c r="CQ810" s="51"/>
      <c r="CR810" s="51"/>
      <c r="CS810" s="51"/>
      <c r="CT810" s="51"/>
      <c r="CU810" s="1"/>
      <c r="CV810" s="1"/>
      <c r="CW810" s="1"/>
      <c r="CX810" s="1"/>
      <c r="CY810" s="1"/>
      <c r="CZ810" s="1"/>
    </row>
    <row r="811" spans="1:104" ht="14.25" customHeight="1">
      <c r="A811" s="1"/>
      <c r="B811" s="2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  <c r="CC811" s="51"/>
      <c r="CD811" s="51"/>
      <c r="CE811" s="51"/>
      <c r="CF811" s="51"/>
      <c r="CG811" s="51"/>
      <c r="CH811" s="51"/>
      <c r="CI811" s="51"/>
      <c r="CJ811" s="51"/>
      <c r="CK811" s="51"/>
      <c r="CL811" s="51"/>
      <c r="CM811" s="51"/>
      <c r="CN811" s="51"/>
      <c r="CO811" s="51"/>
      <c r="CP811" s="51"/>
      <c r="CQ811" s="51"/>
      <c r="CR811" s="51"/>
      <c r="CS811" s="51"/>
      <c r="CT811" s="51"/>
      <c r="CU811" s="1"/>
      <c r="CV811" s="1"/>
      <c r="CW811" s="1"/>
      <c r="CX811" s="1"/>
      <c r="CY811" s="1"/>
      <c r="CZ811" s="1"/>
    </row>
    <row r="812" spans="1:104" ht="14.25" customHeight="1">
      <c r="A812" s="1"/>
      <c r="B812" s="2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  <c r="CC812" s="51"/>
      <c r="CD812" s="51"/>
      <c r="CE812" s="51"/>
      <c r="CF812" s="51"/>
      <c r="CG812" s="51"/>
      <c r="CH812" s="51"/>
      <c r="CI812" s="51"/>
      <c r="CJ812" s="51"/>
      <c r="CK812" s="51"/>
      <c r="CL812" s="51"/>
      <c r="CM812" s="51"/>
      <c r="CN812" s="51"/>
      <c r="CO812" s="51"/>
      <c r="CP812" s="51"/>
      <c r="CQ812" s="51"/>
      <c r="CR812" s="51"/>
      <c r="CS812" s="51"/>
      <c r="CT812" s="51"/>
      <c r="CU812" s="1"/>
      <c r="CV812" s="1"/>
      <c r="CW812" s="1"/>
      <c r="CX812" s="1"/>
      <c r="CY812" s="1"/>
      <c r="CZ812" s="1"/>
    </row>
    <row r="813" spans="1:104" ht="14.25" customHeight="1">
      <c r="A813" s="1"/>
      <c r="B813" s="2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  <c r="CC813" s="51"/>
      <c r="CD813" s="51"/>
      <c r="CE813" s="51"/>
      <c r="CF813" s="51"/>
      <c r="CG813" s="51"/>
      <c r="CH813" s="51"/>
      <c r="CI813" s="51"/>
      <c r="CJ813" s="51"/>
      <c r="CK813" s="51"/>
      <c r="CL813" s="51"/>
      <c r="CM813" s="51"/>
      <c r="CN813" s="51"/>
      <c r="CO813" s="51"/>
      <c r="CP813" s="51"/>
      <c r="CQ813" s="51"/>
      <c r="CR813" s="51"/>
      <c r="CS813" s="51"/>
      <c r="CT813" s="51"/>
      <c r="CU813" s="1"/>
      <c r="CV813" s="1"/>
      <c r="CW813" s="1"/>
      <c r="CX813" s="1"/>
      <c r="CY813" s="1"/>
      <c r="CZ813" s="1"/>
    </row>
    <row r="814" spans="1:104" ht="14.25" customHeight="1">
      <c r="A814" s="1"/>
      <c r="B814" s="2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  <c r="CC814" s="51"/>
      <c r="CD814" s="51"/>
      <c r="CE814" s="51"/>
      <c r="CF814" s="51"/>
      <c r="CG814" s="51"/>
      <c r="CH814" s="51"/>
      <c r="CI814" s="51"/>
      <c r="CJ814" s="51"/>
      <c r="CK814" s="51"/>
      <c r="CL814" s="51"/>
      <c r="CM814" s="51"/>
      <c r="CN814" s="51"/>
      <c r="CO814" s="51"/>
      <c r="CP814" s="51"/>
      <c r="CQ814" s="51"/>
      <c r="CR814" s="51"/>
      <c r="CS814" s="51"/>
      <c r="CT814" s="51"/>
      <c r="CU814" s="1"/>
      <c r="CV814" s="1"/>
      <c r="CW814" s="1"/>
      <c r="CX814" s="1"/>
      <c r="CY814" s="1"/>
      <c r="CZ814" s="1"/>
    </row>
    <row r="815" spans="1:104" ht="14.25" customHeight="1">
      <c r="A815" s="1"/>
      <c r="B815" s="2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  <c r="CC815" s="51"/>
      <c r="CD815" s="51"/>
      <c r="CE815" s="51"/>
      <c r="CF815" s="51"/>
      <c r="CG815" s="51"/>
      <c r="CH815" s="51"/>
      <c r="CI815" s="51"/>
      <c r="CJ815" s="51"/>
      <c r="CK815" s="51"/>
      <c r="CL815" s="51"/>
      <c r="CM815" s="51"/>
      <c r="CN815" s="51"/>
      <c r="CO815" s="51"/>
      <c r="CP815" s="51"/>
      <c r="CQ815" s="51"/>
      <c r="CR815" s="51"/>
      <c r="CS815" s="51"/>
      <c r="CT815" s="51"/>
      <c r="CU815" s="1"/>
      <c r="CV815" s="1"/>
      <c r="CW815" s="1"/>
      <c r="CX815" s="1"/>
      <c r="CY815" s="1"/>
      <c r="CZ815" s="1"/>
    </row>
    <row r="816" spans="1:104" ht="14.25" customHeight="1">
      <c r="A816" s="1"/>
      <c r="B816" s="2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51"/>
      <c r="CE816" s="51"/>
      <c r="CF816" s="51"/>
      <c r="CG816" s="51"/>
      <c r="CH816" s="51"/>
      <c r="CI816" s="51"/>
      <c r="CJ816" s="51"/>
      <c r="CK816" s="51"/>
      <c r="CL816" s="51"/>
      <c r="CM816" s="51"/>
      <c r="CN816" s="51"/>
      <c r="CO816" s="51"/>
      <c r="CP816" s="51"/>
      <c r="CQ816" s="51"/>
      <c r="CR816" s="51"/>
      <c r="CS816" s="51"/>
      <c r="CT816" s="51"/>
      <c r="CU816" s="1"/>
      <c r="CV816" s="1"/>
      <c r="CW816" s="1"/>
      <c r="CX816" s="1"/>
      <c r="CY816" s="1"/>
      <c r="CZ816" s="1"/>
    </row>
    <row r="817" spans="1:104" ht="14.25" customHeight="1">
      <c r="A817" s="1"/>
      <c r="B817" s="2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  <c r="CC817" s="51"/>
      <c r="CD817" s="51"/>
      <c r="CE817" s="51"/>
      <c r="CF817" s="51"/>
      <c r="CG817" s="51"/>
      <c r="CH817" s="51"/>
      <c r="CI817" s="51"/>
      <c r="CJ817" s="51"/>
      <c r="CK817" s="51"/>
      <c r="CL817" s="51"/>
      <c r="CM817" s="51"/>
      <c r="CN817" s="51"/>
      <c r="CO817" s="51"/>
      <c r="CP817" s="51"/>
      <c r="CQ817" s="51"/>
      <c r="CR817" s="51"/>
      <c r="CS817" s="51"/>
      <c r="CT817" s="51"/>
      <c r="CU817" s="1"/>
      <c r="CV817" s="1"/>
      <c r="CW817" s="1"/>
      <c r="CX817" s="1"/>
      <c r="CY817" s="1"/>
      <c r="CZ817" s="1"/>
    </row>
    <row r="818" spans="1:104" ht="14.25" customHeight="1">
      <c r="A818" s="1"/>
      <c r="B818" s="2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51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  <c r="CO818" s="51"/>
      <c r="CP818" s="51"/>
      <c r="CQ818" s="51"/>
      <c r="CR818" s="51"/>
      <c r="CS818" s="51"/>
      <c r="CT818" s="51"/>
      <c r="CU818" s="1"/>
      <c r="CV818" s="1"/>
      <c r="CW818" s="1"/>
      <c r="CX818" s="1"/>
      <c r="CY818" s="1"/>
      <c r="CZ818" s="1"/>
    </row>
    <row r="819" spans="1:104" ht="14.25" customHeight="1">
      <c r="A819" s="1"/>
      <c r="B819" s="2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  <c r="CC819" s="51"/>
      <c r="CD819" s="51"/>
      <c r="CE819" s="51"/>
      <c r="CF819" s="51"/>
      <c r="CG819" s="51"/>
      <c r="CH819" s="51"/>
      <c r="CI819" s="51"/>
      <c r="CJ819" s="51"/>
      <c r="CK819" s="51"/>
      <c r="CL819" s="51"/>
      <c r="CM819" s="51"/>
      <c r="CN819" s="51"/>
      <c r="CO819" s="51"/>
      <c r="CP819" s="51"/>
      <c r="CQ819" s="51"/>
      <c r="CR819" s="51"/>
      <c r="CS819" s="51"/>
      <c r="CT819" s="51"/>
      <c r="CU819" s="1"/>
      <c r="CV819" s="1"/>
      <c r="CW819" s="1"/>
      <c r="CX819" s="1"/>
      <c r="CY819" s="1"/>
      <c r="CZ819" s="1"/>
    </row>
    <row r="820" spans="1:104" ht="14.25" customHeight="1">
      <c r="A820" s="1"/>
      <c r="B820" s="2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  <c r="CR820" s="51"/>
      <c r="CS820" s="51"/>
      <c r="CT820" s="51"/>
      <c r="CU820" s="1"/>
      <c r="CV820" s="1"/>
      <c r="CW820" s="1"/>
      <c r="CX820" s="1"/>
      <c r="CY820" s="1"/>
      <c r="CZ820" s="1"/>
    </row>
    <row r="821" spans="1:104" ht="14.25" customHeight="1">
      <c r="A821" s="1"/>
      <c r="B821" s="2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  <c r="CO821" s="51"/>
      <c r="CP821" s="51"/>
      <c r="CQ821" s="51"/>
      <c r="CR821" s="51"/>
      <c r="CS821" s="51"/>
      <c r="CT821" s="51"/>
      <c r="CU821" s="1"/>
      <c r="CV821" s="1"/>
      <c r="CW821" s="1"/>
      <c r="CX821" s="1"/>
      <c r="CY821" s="1"/>
      <c r="CZ821" s="1"/>
    </row>
    <row r="822" spans="1:104" ht="14.25" customHeight="1">
      <c r="A822" s="1"/>
      <c r="B822" s="2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  <c r="CC822" s="51"/>
      <c r="CD822" s="51"/>
      <c r="CE822" s="51"/>
      <c r="CF822" s="51"/>
      <c r="CG822" s="51"/>
      <c r="CH822" s="51"/>
      <c r="CI822" s="51"/>
      <c r="CJ822" s="51"/>
      <c r="CK822" s="51"/>
      <c r="CL822" s="51"/>
      <c r="CM822" s="51"/>
      <c r="CN822" s="51"/>
      <c r="CO822" s="51"/>
      <c r="CP822" s="51"/>
      <c r="CQ822" s="51"/>
      <c r="CR822" s="51"/>
      <c r="CS822" s="51"/>
      <c r="CT822" s="51"/>
      <c r="CU822" s="1"/>
      <c r="CV822" s="1"/>
      <c r="CW822" s="1"/>
      <c r="CX822" s="1"/>
      <c r="CY822" s="1"/>
      <c r="CZ822" s="1"/>
    </row>
    <row r="823" spans="1:104" ht="14.25" customHeight="1">
      <c r="A823" s="1"/>
      <c r="B823" s="2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  <c r="CC823" s="51"/>
      <c r="CD823" s="51"/>
      <c r="CE823" s="51"/>
      <c r="CF823" s="51"/>
      <c r="CG823" s="51"/>
      <c r="CH823" s="51"/>
      <c r="CI823" s="51"/>
      <c r="CJ823" s="51"/>
      <c r="CK823" s="51"/>
      <c r="CL823" s="51"/>
      <c r="CM823" s="51"/>
      <c r="CN823" s="51"/>
      <c r="CO823" s="51"/>
      <c r="CP823" s="51"/>
      <c r="CQ823" s="51"/>
      <c r="CR823" s="51"/>
      <c r="CS823" s="51"/>
      <c r="CT823" s="51"/>
      <c r="CU823" s="1"/>
      <c r="CV823" s="1"/>
      <c r="CW823" s="1"/>
      <c r="CX823" s="1"/>
      <c r="CY823" s="1"/>
      <c r="CZ823" s="1"/>
    </row>
    <row r="824" spans="1:104" ht="14.25" customHeight="1">
      <c r="A824" s="1"/>
      <c r="B824" s="2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  <c r="CC824" s="51"/>
      <c r="CD824" s="51"/>
      <c r="CE824" s="51"/>
      <c r="CF824" s="51"/>
      <c r="CG824" s="51"/>
      <c r="CH824" s="51"/>
      <c r="CI824" s="51"/>
      <c r="CJ824" s="51"/>
      <c r="CK824" s="51"/>
      <c r="CL824" s="51"/>
      <c r="CM824" s="51"/>
      <c r="CN824" s="51"/>
      <c r="CO824" s="51"/>
      <c r="CP824" s="51"/>
      <c r="CQ824" s="51"/>
      <c r="CR824" s="51"/>
      <c r="CS824" s="51"/>
      <c r="CT824" s="51"/>
      <c r="CU824" s="1"/>
      <c r="CV824" s="1"/>
      <c r="CW824" s="1"/>
      <c r="CX824" s="1"/>
      <c r="CY824" s="1"/>
      <c r="CZ824" s="1"/>
    </row>
    <row r="825" spans="1:104" ht="14.25" customHeight="1">
      <c r="A825" s="1"/>
      <c r="B825" s="2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  <c r="CC825" s="51"/>
      <c r="CD825" s="51"/>
      <c r="CE825" s="51"/>
      <c r="CF825" s="51"/>
      <c r="CG825" s="51"/>
      <c r="CH825" s="51"/>
      <c r="CI825" s="51"/>
      <c r="CJ825" s="51"/>
      <c r="CK825" s="51"/>
      <c r="CL825" s="51"/>
      <c r="CM825" s="51"/>
      <c r="CN825" s="51"/>
      <c r="CO825" s="51"/>
      <c r="CP825" s="51"/>
      <c r="CQ825" s="51"/>
      <c r="CR825" s="51"/>
      <c r="CS825" s="51"/>
      <c r="CT825" s="51"/>
      <c r="CU825" s="1"/>
      <c r="CV825" s="1"/>
      <c r="CW825" s="1"/>
      <c r="CX825" s="1"/>
      <c r="CY825" s="1"/>
      <c r="CZ825" s="1"/>
    </row>
    <row r="826" spans="1:104" ht="14.25" customHeight="1">
      <c r="A826" s="1"/>
      <c r="B826" s="2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  <c r="CC826" s="51"/>
      <c r="CD826" s="51"/>
      <c r="CE826" s="51"/>
      <c r="CF826" s="51"/>
      <c r="CG826" s="51"/>
      <c r="CH826" s="51"/>
      <c r="CI826" s="51"/>
      <c r="CJ826" s="51"/>
      <c r="CK826" s="51"/>
      <c r="CL826" s="51"/>
      <c r="CM826" s="51"/>
      <c r="CN826" s="51"/>
      <c r="CO826" s="51"/>
      <c r="CP826" s="51"/>
      <c r="CQ826" s="51"/>
      <c r="CR826" s="51"/>
      <c r="CS826" s="51"/>
      <c r="CT826" s="51"/>
      <c r="CU826" s="1"/>
      <c r="CV826" s="1"/>
      <c r="CW826" s="1"/>
      <c r="CX826" s="1"/>
      <c r="CY826" s="1"/>
      <c r="CZ826" s="1"/>
    </row>
    <row r="827" spans="1:104" ht="14.25" customHeight="1">
      <c r="A827" s="1"/>
      <c r="B827" s="2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  <c r="CC827" s="51"/>
      <c r="CD827" s="51"/>
      <c r="CE827" s="51"/>
      <c r="CF827" s="51"/>
      <c r="CG827" s="51"/>
      <c r="CH827" s="51"/>
      <c r="CI827" s="51"/>
      <c r="CJ827" s="51"/>
      <c r="CK827" s="51"/>
      <c r="CL827" s="51"/>
      <c r="CM827" s="51"/>
      <c r="CN827" s="51"/>
      <c r="CO827" s="51"/>
      <c r="CP827" s="51"/>
      <c r="CQ827" s="51"/>
      <c r="CR827" s="51"/>
      <c r="CS827" s="51"/>
      <c r="CT827" s="51"/>
      <c r="CU827" s="1"/>
      <c r="CV827" s="1"/>
      <c r="CW827" s="1"/>
      <c r="CX827" s="1"/>
      <c r="CY827" s="1"/>
      <c r="CZ827" s="1"/>
    </row>
    <row r="828" spans="1:104" ht="14.25" customHeight="1">
      <c r="A828" s="1"/>
      <c r="B828" s="2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  <c r="CC828" s="51"/>
      <c r="CD828" s="51"/>
      <c r="CE828" s="51"/>
      <c r="CF828" s="51"/>
      <c r="CG828" s="51"/>
      <c r="CH828" s="51"/>
      <c r="CI828" s="51"/>
      <c r="CJ828" s="51"/>
      <c r="CK828" s="51"/>
      <c r="CL828" s="51"/>
      <c r="CM828" s="51"/>
      <c r="CN828" s="51"/>
      <c r="CO828" s="51"/>
      <c r="CP828" s="51"/>
      <c r="CQ828" s="51"/>
      <c r="CR828" s="51"/>
      <c r="CS828" s="51"/>
      <c r="CT828" s="51"/>
      <c r="CU828" s="1"/>
      <c r="CV828" s="1"/>
      <c r="CW828" s="1"/>
      <c r="CX828" s="1"/>
      <c r="CY828" s="1"/>
      <c r="CZ828" s="1"/>
    </row>
    <row r="829" spans="1:104" ht="14.25" customHeight="1">
      <c r="A829" s="1"/>
      <c r="B829" s="2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  <c r="CC829" s="51"/>
      <c r="CD829" s="51"/>
      <c r="CE829" s="51"/>
      <c r="CF829" s="51"/>
      <c r="CG829" s="51"/>
      <c r="CH829" s="51"/>
      <c r="CI829" s="51"/>
      <c r="CJ829" s="51"/>
      <c r="CK829" s="51"/>
      <c r="CL829" s="51"/>
      <c r="CM829" s="51"/>
      <c r="CN829" s="51"/>
      <c r="CO829" s="51"/>
      <c r="CP829" s="51"/>
      <c r="CQ829" s="51"/>
      <c r="CR829" s="51"/>
      <c r="CS829" s="51"/>
      <c r="CT829" s="51"/>
      <c r="CU829" s="1"/>
      <c r="CV829" s="1"/>
      <c r="CW829" s="1"/>
      <c r="CX829" s="1"/>
      <c r="CY829" s="1"/>
      <c r="CZ829" s="1"/>
    </row>
    <row r="830" spans="1:104" ht="14.25" customHeight="1">
      <c r="A830" s="1"/>
      <c r="B830" s="2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  <c r="CC830" s="51"/>
      <c r="CD830" s="51"/>
      <c r="CE830" s="51"/>
      <c r="CF830" s="51"/>
      <c r="CG830" s="51"/>
      <c r="CH830" s="51"/>
      <c r="CI830" s="51"/>
      <c r="CJ830" s="51"/>
      <c r="CK830" s="51"/>
      <c r="CL830" s="51"/>
      <c r="CM830" s="51"/>
      <c r="CN830" s="51"/>
      <c r="CO830" s="51"/>
      <c r="CP830" s="51"/>
      <c r="CQ830" s="51"/>
      <c r="CR830" s="51"/>
      <c r="CS830" s="51"/>
      <c r="CT830" s="51"/>
      <c r="CU830" s="1"/>
      <c r="CV830" s="1"/>
      <c r="CW830" s="1"/>
      <c r="CX830" s="1"/>
      <c r="CY830" s="1"/>
      <c r="CZ830" s="1"/>
    </row>
    <row r="831" spans="1:104" ht="14.25" customHeight="1">
      <c r="A831" s="1"/>
      <c r="B831" s="2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  <c r="CR831" s="51"/>
      <c r="CS831" s="51"/>
      <c r="CT831" s="51"/>
      <c r="CU831" s="1"/>
      <c r="CV831" s="1"/>
      <c r="CW831" s="1"/>
      <c r="CX831" s="1"/>
      <c r="CY831" s="1"/>
      <c r="CZ831" s="1"/>
    </row>
    <row r="832" spans="1:104" ht="14.25" customHeight="1">
      <c r="A832" s="1"/>
      <c r="B832" s="2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  <c r="CC832" s="51"/>
      <c r="CD832" s="51"/>
      <c r="CE832" s="51"/>
      <c r="CF832" s="51"/>
      <c r="CG832" s="51"/>
      <c r="CH832" s="51"/>
      <c r="CI832" s="51"/>
      <c r="CJ832" s="51"/>
      <c r="CK832" s="51"/>
      <c r="CL832" s="51"/>
      <c r="CM832" s="51"/>
      <c r="CN832" s="51"/>
      <c r="CO832" s="51"/>
      <c r="CP832" s="51"/>
      <c r="CQ832" s="51"/>
      <c r="CR832" s="51"/>
      <c r="CS832" s="51"/>
      <c r="CT832" s="51"/>
      <c r="CU832" s="1"/>
      <c r="CV832" s="1"/>
      <c r="CW832" s="1"/>
      <c r="CX832" s="1"/>
      <c r="CY832" s="1"/>
      <c r="CZ832" s="1"/>
    </row>
    <row r="833" spans="1:104" ht="14.25" customHeight="1">
      <c r="A833" s="1"/>
      <c r="B833" s="2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1"/>
      <c r="CI833" s="51"/>
      <c r="CJ833" s="51"/>
      <c r="CK833" s="51"/>
      <c r="CL833" s="51"/>
      <c r="CM833" s="51"/>
      <c r="CN833" s="51"/>
      <c r="CO833" s="51"/>
      <c r="CP833" s="51"/>
      <c r="CQ833" s="51"/>
      <c r="CR833" s="51"/>
      <c r="CS833" s="51"/>
      <c r="CT833" s="51"/>
      <c r="CU833" s="1"/>
      <c r="CV833" s="1"/>
      <c r="CW833" s="1"/>
      <c r="CX833" s="1"/>
      <c r="CY833" s="1"/>
      <c r="CZ833" s="1"/>
    </row>
    <row r="834" spans="1:104" ht="14.25" customHeight="1">
      <c r="A834" s="1"/>
      <c r="B834" s="2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  <c r="CC834" s="51"/>
      <c r="CD834" s="51"/>
      <c r="CE834" s="51"/>
      <c r="CF834" s="51"/>
      <c r="CG834" s="51"/>
      <c r="CH834" s="51"/>
      <c r="CI834" s="51"/>
      <c r="CJ834" s="51"/>
      <c r="CK834" s="51"/>
      <c r="CL834" s="51"/>
      <c r="CM834" s="51"/>
      <c r="CN834" s="51"/>
      <c r="CO834" s="51"/>
      <c r="CP834" s="51"/>
      <c r="CQ834" s="51"/>
      <c r="CR834" s="51"/>
      <c r="CS834" s="51"/>
      <c r="CT834" s="51"/>
      <c r="CU834" s="1"/>
      <c r="CV834" s="1"/>
      <c r="CW834" s="1"/>
      <c r="CX834" s="1"/>
      <c r="CY834" s="1"/>
      <c r="CZ834" s="1"/>
    </row>
    <row r="835" spans="1:104" ht="14.25" customHeight="1">
      <c r="A835" s="1"/>
      <c r="B835" s="2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  <c r="CC835" s="51"/>
      <c r="CD835" s="51"/>
      <c r="CE835" s="51"/>
      <c r="CF835" s="51"/>
      <c r="CG835" s="51"/>
      <c r="CH835" s="51"/>
      <c r="CI835" s="51"/>
      <c r="CJ835" s="51"/>
      <c r="CK835" s="51"/>
      <c r="CL835" s="51"/>
      <c r="CM835" s="51"/>
      <c r="CN835" s="51"/>
      <c r="CO835" s="51"/>
      <c r="CP835" s="51"/>
      <c r="CQ835" s="51"/>
      <c r="CR835" s="51"/>
      <c r="CS835" s="51"/>
      <c r="CT835" s="51"/>
      <c r="CU835" s="1"/>
      <c r="CV835" s="1"/>
      <c r="CW835" s="1"/>
      <c r="CX835" s="1"/>
      <c r="CY835" s="1"/>
      <c r="CZ835" s="1"/>
    </row>
    <row r="836" spans="1:104" ht="14.25" customHeight="1">
      <c r="A836" s="1"/>
      <c r="B836" s="2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  <c r="CC836" s="51"/>
      <c r="CD836" s="51"/>
      <c r="CE836" s="51"/>
      <c r="CF836" s="51"/>
      <c r="CG836" s="51"/>
      <c r="CH836" s="51"/>
      <c r="CI836" s="51"/>
      <c r="CJ836" s="51"/>
      <c r="CK836" s="51"/>
      <c r="CL836" s="51"/>
      <c r="CM836" s="51"/>
      <c r="CN836" s="51"/>
      <c r="CO836" s="51"/>
      <c r="CP836" s="51"/>
      <c r="CQ836" s="51"/>
      <c r="CR836" s="51"/>
      <c r="CS836" s="51"/>
      <c r="CT836" s="51"/>
      <c r="CU836" s="1"/>
      <c r="CV836" s="1"/>
      <c r="CW836" s="1"/>
      <c r="CX836" s="1"/>
      <c r="CY836" s="1"/>
      <c r="CZ836" s="1"/>
    </row>
    <row r="837" spans="1:104" ht="14.25" customHeight="1">
      <c r="A837" s="1"/>
      <c r="B837" s="2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1"/>
      <c r="CA837" s="51"/>
      <c r="CB837" s="51"/>
      <c r="CC837" s="51"/>
      <c r="CD837" s="51"/>
      <c r="CE837" s="51"/>
      <c r="CF837" s="51"/>
      <c r="CG837" s="51"/>
      <c r="CH837" s="51"/>
      <c r="CI837" s="51"/>
      <c r="CJ837" s="51"/>
      <c r="CK837" s="51"/>
      <c r="CL837" s="51"/>
      <c r="CM837" s="51"/>
      <c r="CN837" s="51"/>
      <c r="CO837" s="51"/>
      <c r="CP837" s="51"/>
      <c r="CQ837" s="51"/>
      <c r="CR837" s="51"/>
      <c r="CS837" s="51"/>
      <c r="CT837" s="51"/>
      <c r="CU837" s="1"/>
      <c r="CV837" s="1"/>
      <c r="CW837" s="1"/>
      <c r="CX837" s="1"/>
      <c r="CY837" s="1"/>
      <c r="CZ837" s="1"/>
    </row>
    <row r="838" spans="1:104" ht="14.25" customHeight="1">
      <c r="A838" s="1"/>
      <c r="B838" s="2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  <c r="CC838" s="51"/>
      <c r="CD838" s="51"/>
      <c r="CE838" s="51"/>
      <c r="CF838" s="51"/>
      <c r="CG838" s="51"/>
      <c r="CH838" s="51"/>
      <c r="CI838" s="51"/>
      <c r="CJ838" s="51"/>
      <c r="CK838" s="51"/>
      <c r="CL838" s="51"/>
      <c r="CM838" s="51"/>
      <c r="CN838" s="51"/>
      <c r="CO838" s="51"/>
      <c r="CP838" s="51"/>
      <c r="CQ838" s="51"/>
      <c r="CR838" s="51"/>
      <c r="CS838" s="51"/>
      <c r="CT838" s="51"/>
      <c r="CU838" s="1"/>
      <c r="CV838" s="1"/>
      <c r="CW838" s="1"/>
      <c r="CX838" s="1"/>
      <c r="CY838" s="1"/>
      <c r="CZ838" s="1"/>
    </row>
    <row r="839" spans="1:104" ht="14.25" customHeight="1">
      <c r="A839" s="1"/>
      <c r="B839" s="2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  <c r="CC839" s="51"/>
      <c r="CD839" s="51"/>
      <c r="CE839" s="51"/>
      <c r="CF839" s="51"/>
      <c r="CG839" s="51"/>
      <c r="CH839" s="51"/>
      <c r="CI839" s="51"/>
      <c r="CJ839" s="51"/>
      <c r="CK839" s="51"/>
      <c r="CL839" s="51"/>
      <c r="CM839" s="51"/>
      <c r="CN839" s="51"/>
      <c r="CO839" s="51"/>
      <c r="CP839" s="51"/>
      <c r="CQ839" s="51"/>
      <c r="CR839" s="51"/>
      <c r="CS839" s="51"/>
      <c r="CT839" s="51"/>
      <c r="CU839" s="1"/>
      <c r="CV839" s="1"/>
      <c r="CW839" s="1"/>
      <c r="CX839" s="1"/>
      <c r="CY839" s="1"/>
      <c r="CZ839" s="1"/>
    </row>
    <row r="840" spans="1:104" ht="14.25" customHeight="1">
      <c r="A840" s="1"/>
      <c r="B840" s="2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  <c r="CC840" s="51"/>
      <c r="CD840" s="51"/>
      <c r="CE840" s="51"/>
      <c r="CF840" s="51"/>
      <c r="CG840" s="51"/>
      <c r="CH840" s="51"/>
      <c r="CI840" s="51"/>
      <c r="CJ840" s="51"/>
      <c r="CK840" s="51"/>
      <c r="CL840" s="51"/>
      <c r="CM840" s="51"/>
      <c r="CN840" s="51"/>
      <c r="CO840" s="51"/>
      <c r="CP840" s="51"/>
      <c r="CQ840" s="51"/>
      <c r="CR840" s="51"/>
      <c r="CS840" s="51"/>
      <c r="CT840" s="51"/>
      <c r="CU840" s="1"/>
      <c r="CV840" s="1"/>
      <c r="CW840" s="1"/>
      <c r="CX840" s="1"/>
      <c r="CY840" s="1"/>
      <c r="CZ840" s="1"/>
    </row>
    <row r="841" spans="1:104" ht="14.25" customHeight="1">
      <c r="A841" s="1"/>
      <c r="B841" s="2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  <c r="CC841" s="51"/>
      <c r="CD841" s="51"/>
      <c r="CE841" s="51"/>
      <c r="CF841" s="51"/>
      <c r="CG841" s="51"/>
      <c r="CH841" s="51"/>
      <c r="CI841" s="51"/>
      <c r="CJ841" s="51"/>
      <c r="CK841" s="51"/>
      <c r="CL841" s="51"/>
      <c r="CM841" s="51"/>
      <c r="CN841" s="51"/>
      <c r="CO841" s="51"/>
      <c r="CP841" s="51"/>
      <c r="CQ841" s="51"/>
      <c r="CR841" s="51"/>
      <c r="CS841" s="51"/>
      <c r="CT841" s="51"/>
      <c r="CU841" s="1"/>
      <c r="CV841" s="1"/>
      <c r="CW841" s="1"/>
      <c r="CX841" s="1"/>
      <c r="CY841" s="1"/>
      <c r="CZ841" s="1"/>
    </row>
    <row r="842" spans="1:104" ht="14.25" customHeight="1">
      <c r="A842" s="1"/>
      <c r="B842" s="2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  <c r="CR842" s="51"/>
      <c r="CS842" s="51"/>
      <c r="CT842" s="51"/>
      <c r="CU842" s="1"/>
      <c r="CV842" s="1"/>
      <c r="CW842" s="1"/>
      <c r="CX842" s="1"/>
      <c r="CY842" s="1"/>
      <c r="CZ842" s="1"/>
    </row>
    <row r="843" spans="1:104" ht="14.25" customHeight="1">
      <c r="A843" s="1"/>
      <c r="B843" s="2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  <c r="CC843" s="51"/>
      <c r="CD843" s="51"/>
      <c r="CE843" s="51"/>
      <c r="CF843" s="51"/>
      <c r="CG843" s="51"/>
      <c r="CH843" s="51"/>
      <c r="CI843" s="51"/>
      <c r="CJ843" s="51"/>
      <c r="CK843" s="51"/>
      <c r="CL843" s="51"/>
      <c r="CM843" s="51"/>
      <c r="CN843" s="51"/>
      <c r="CO843" s="51"/>
      <c r="CP843" s="51"/>
      <c r="CQ843" s="51"/>
      <c r="CR843" s="51"/>
      <c r="CS843" s="51"/>
      <c r="CT843" s="51"/>
      <c r="CU843" s="1"/>
      <c r="CV843" s="1"/>
      <c r="CW843" s="1"/>
      <c r="CX843" s="1"/>
      <c r="CY843" s="1"/>
      <c r="CZ843" s="1"/>
    </row>
    <row r="844" spans="1:104" ht="14.25" customHeight="1">
      <c r="A844" s="1"/>
      <c r="B844" s="2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  <c r="CC844" s="51"/>
      <c r="CD844" s="51"/>
      <c r="CE844" s="51"/>
      <c r="CF844" s="51"/>
      <c r="CG844" s="51"/>
      <c r="CH844" s="51"/>
      <c r="CI844" s="51"/>
      <c r="CJ844" s="51"/>
      <c r="CK844" s="51"/>
      <c r="CL844" s="51"/>
      <c r="CM844" s="51"/>
      <c r="CN844" s="51"/>
      <c r="CO844" s="51"/>
      <c r="CP844" s="51"/>
      <c r="CQ844" s="51"/>
      <c r="CR844" s="51"/>
      <c r="CS844" s="51"/>
      <c r="CT844" s="51"/>
      <c r="CU844" s="1"/>
      <c r="CV844" s="1"/>
      <c r="CW844" s="1"/>
      <c r="CX844" s="1"/>
      <c r="CY844" s="1"/>
      <c r="CZ844" s="1"/>
    </row>
    <row r="845" spans="1:104" ht="14.25" customHeight="1">
      <c r="A845" s="1"/>
      <c r="B845" s="2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  <c r="CC845" s="51"/>
      <c r="CD845" s="51"/>
      <c r="CE845" s="51"/>
      <c r="CF845" s="51"/>
      <c r="CG845" s="51"/>
      <c r="CH845" s="51"/>
      <c r="CI845" s="51"/>
      <c r="CJ845" s="51"/>
      <c r="CK845" s="51"/>
      <c r="CL845" s="51"/>
      <c r="CM845" s="51"/>
      <c r="CN845" s="51"/>
      <c r="CO845" s="51"/>
      <c r="CP845" s="51"/>
      <c r="CQ845" s="51"/>
      <c r="CR845" s="51"/>
      <c r="CS845" s="51"/>
      <c r="CT845" s="51"/>
      <c r="CU845" s="1"/>
      <c r="CV845" s="1"/>
      <c r="CW845" s="1"/>
      <c r="CX845" s="1"/>
      <c r="CY845" s="1"/>
      <c r="CZ845" s="1"/>
    </row>
    <row r="846" spans="1:104" ht="14.25" customHeight="1">
      <c r="A846" s="1"/>
      <c r="B846" s="2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  <c r="CC846" s="51"/>
      <c r="CD846" s="51"/>
      <c r="CE846" s="51"/>
      <c r="CF846" s="51"/>
      <c r="CG846" s="51"/>
      <c r="CH846" s="51"/>
      <c r="CI846" s="51"/>
      <c r="CJ846" s="51"/>
      <c r="CK846" s="51"/>
      <c r="CL846" s="51"/>
      <c r="CM846" s="51"/>
      <c r="CN846" s="51"/>
      <c r="CO846" s="51"/>
      <c r="CP846" s="51"/>
      <c r="CQ846" s="51"/>
      <c r="CR846" s="51"/>
      <c r="CS846" s="51"/>
      <c r="CT846" s="51"/>
      <c r="CU846" s="1"/>
      <c r="CV846" s="1"/>
      <c r="CW846" s="1"/>
      <c r="CX846" s="1"/>
      <c r="CY846" s="1"/>
      <c r="CZ846" s="1"/>
    </row>
    <row r="847" spans="1:104" ht="14.25" customHeight="1">
      <c r="A847" s="1"/>
      <c r="B847" s="2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  <c r="CC847" s="51"/>
      <c r="CD847" s="51"/>
      <c r="CE847" s="51"/>
      <c r="CF847" s="51"/>
      <c r="CG847" s="51"/>
      <c r="CH847" s="51"/>
      <c r="CI847" s="51"/>
      <c r="CJ847" s="51"/>
      <c r="CK847" s="51"/>
      <c r="CL847" s="51"/>
      <c r="CM847" s="51"/>
      <c r="CN847" s="51"/>
      <c r="CO847" s="51"/>
      <c r="CP847" s="51"/>
      <c r="CQ847" s="51"/>
      <c r="CR847" s="51"/>
      <c r="CS847" s="51"/>
      <c r="CT847" s="51"/>
      <c r="CU847" s="1"/>
      <c r="CV847" s="1"/>
      <c r="CW847" s="1"/>
      <c r="CX847" s="1"/>
      <c r="CY847" s="1"/>
      <c r="CZ847" s="1"/>
    </row>
    <row r="848" spans="1:104" ht="14.25" customHeight="1">
      <c r="A848" s="1"/>
      <c r="B848" s="2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  <c r="CC848" s="51"/>
      <c r="CD848" s="51"/>
      <c r="CE848" s="51"/>
      <c r="CF848" s="51"/>
      <c r="CG848" s="51"/>
      <c r="CH848" s="51"/>
      <c r="CI848" s="51"/>
      <c r="CJ848" s="51"/>
      <c r="CK848" s="51"/>
      <c r="CL848" s="51"/>
      <c r="CM848" s="51"/>
      <c r="CN848" s="51"/>
      <c r="CO848" s="51"/>
      <c r="CP848" s="51"/>
      <c r="CQ848" s="51"/>
      <c r="CR848" s="51"/>
      <c r="CS848" s="51"/>
      <c r="CT848" s="51"/>
      <c r="CU848" s="1"/>
      <c r="CV848" s="1"/>
      <c r="CW848" s="1"/>
      <c r="CX848" s="1"/>
      <c r="CY848" s="1"/>
      <c r="CZ848" s="1"/>
    </row>
    <row r="849" spans="1:104" ht="14.25" customHeight="1">
      <c r="A849" s="1"/>
      <c r="B849" s="2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  <c r="CC849" s="51"/>
      <c r="CD849" s="51"/>
      <c r="CE849" s="51"/>
      <c r="CF849" s="51"/>
      <c r="CG849" s="51"/>
      <c r="CH849" s="51"/>
      <c r="CI849" s="51"/>
      <c r="CJ849" s="51"/>
      <c r="CK849" s="51"/>
      <c r="CL849" s="51"/>
      <c r="CM849" s="51"/>
      <c r="CN849" s="51"/>
      <c r="CO849" s="51"/>
      <c r="CP849" s="51"/>
      <c r="CQ849" s="51"/>
      <c r="CR849" s="51"/>
      <c r="CS849" s="51"/>
      <c r="CT849" s="51"/>
      <c r="CU849" s="1"/>
      <c r="CV849" s="1"/>
      <c r="CW849" s="1"/>
      <c r="CX849" s="1"/>
      <c r="CY849" s="1"/>
      <c r="CZ849" s="1"/>
    </row>
    <row r="850" spans="1:104" ht="14.25" customHeight="1">
      <c r="A850" s="1"/>
      <c r="B850" s="2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  <c r="CC850" s="51"/>
      <c r="CD850" s="51"/>
      <c r="CE850" s="51"/>
      <c r="CF850" s="51"/>
      <c r="CG850" s="51"/>
      <c r="CH850" s="51"/>
      <c r="CI850" s="51"/>
      <c r="CJ850" s="51"/>
      <c r="CK850" s="51"/>
      <c r="CL850" s="51"/>
      <c r="CM850" s="51"/>
      <c r="CN850" s="51"/>
      <c r="CO850" s="51"/>
      <c r="CP850" s="51"/>
      <c r="CQ850" s="51"/>
      <c r="CR850" s="51"/>
      <c r="CS850" s="51"/>
      <c r="CT850" s="51"/>
      <c r="CU850" s="1"/>
      <c r="CV850" s="1"/>
      <c r="CW850" s="1"/>
      <c r="CX850" s="1"/>
      <c r="CY850" s="1"/>
      <c r="CZ850" s="1"/>
    </row>
    <row r="851" spans="1:104" ht="14.25" customHeight="1">
      <c r="A851" s="1"/>
      <c r="B851" s="2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  <c r="CC851" s="51"/>
      <c r="CD851" s="51"/>
      <c r="CE851" s="51"/>
      <c r="CF851" s="51"/>
      <c r="CG851" s="51"/>
      <c r="CH851" s="51"/>
      <c r="CI851" s="51"/>
      <c r="CJ851" s="51"/>
      <c r="CK851" s="51"/>
      <c r="CL851" s="51"/>
      <c r="CM851" s="51"/>
      <c r="CN851" s="51"/>
      <c r="CO851" s="51"/>
      <c r="CP851" s="51"/>
      <c r="CQ851" s="51"/>
      <c r="CR851" s="51"/>
      <c r="CS851" s="51"/>
      <c r="CT851" s="51"/>
      <c r="CU851" s="1"/>
      <c r="CV851" s="1"/>
      <c r="CW851" s="1"/>
      <c r="CX851" s="1"/>
      <c r="CY851" s="1"/>
      <c r="CZ851" s="1"/>
    </row>
    <row r="852" spans="1:104" ht="14.25" customHeight="1">
      <c r="A852" s="1"/>
      <c r="B852" s="2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  <c r="CC852" s="51"/>
      <c r="CD852" s="51"/>
      <c r="CE852" s="51"/>
      <c r="CF852" s="51"/>
      <c r="CG852" s="51"/>
      <c r="CH852" s="51"/>
      <c r="CI852" s="51"/>
      <c r="CJ852" s="51"/>
      <c r="CK852" s="51"/>
      <c r="CL852" s="51"/>
      <c r="CM852" s="51"/>
      <c r="CN852" s="51"/>
      <c r="CO852" s="51"/>
      <c r="CP852" s="51"/>
      <c r="CQ852" s="51"/>
      <c r="CR852" s="51"/>
      <c r="CS852" s="51"/>
      <c r="CT852" s="51"/>
      <c r="CU852" s="1"/>
      <c r="CV852" s="1"/>
      <c r="CW852" s="1"/>
      <c r="CX852" s="1"/>
      <c r="CY852" s="1"/>
      <c r="CZ852" s="1"/>
    </row>
    <row r="853" spans="1:104" ht="14.25" customHeight="1">
      <c r="A853" s="1"/>
      <c r="B853" s="2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  <c r="CC853" s="51"/>
      <c r="CD853" s="51"/>
      <c r="CE853" s="51"/>
      <c r="CF853" s="51"/>
      <c r="CG853" s="51"/>
      <c r="CH853" s="51"/>
      <c r="CI853" s="51"/>
      <c r="CJ853" s="51"/>
      <c r="CK853" s="51"/>
      <c r="CL853" s="51"/>
      <c r="CM853" s="51"/>
      <c r="CN853" s="51"/>
      <c r="CO853" s="51"/>
      <c r="CP853" s="51"/>
      <c r="CQ853" s="51"/>
      <c r="CR853" s="51"/>
      <c r="CS853" s="51"/>
      <c r="CT853" s="51"/>
      <c r="CU853" s="1"/>
      <c r="CV853" s="1"/>
      <c r="CW853" s="1"/>
      <c r="CX853" s="1"/>
      <c r="CY853" s="1"/>
      <c r="CZ853" s="1"/>
    </row>
    <row r="854" spans="1:104" ht="14.25" customHeight="1">
      <c r="A854" s="1"/>
      <c r="B854" s="2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  <c r="CC854" s="51"/>
      <c r="CD854" s="51"/>
      <c r="CE854" s="51"/>
      <c r="CF854" s="51"/>
      <c r="CG854" s="51"/>
      <c r="CH854" s="51"/>
      <c r="CI854" s="51"/>
      <c r="CJ854" s="51"/>
      <c r="CK854" s="51"/>
      <c r="CL854" s="51"/>
      <c r="CM854" s="51"/>
      <c r="CN854" s="51"/>
      <c r="CO854" s="51"/>
      <c r="CP854" s="51"/>
      <c r="CQ854" s="51"/>
      <c r="CR854" s="51"/>
      <c r="CS854" s="51"/>
      <c r="CT854" s="51"/>
      <c r="CU854" s="1"/>
      <c r="CV854" s="1"/>
      <c r="CW854" s="1"/>
      <c r="CX854" s="1"/>
      <c r="CY854" s="1"/>
      <c r="CZ854" s="1"/>
    </row>
    <row r="855" spans="1:104" ht="14.25" customHeight="1">
      <c r="A855" s="1"/>
      <c r="B855" s="2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  <c r="CC855" s="51"/>
      <c r="CD855" s="51"/>
      <c r="CE855" s="51"/>
      <c r="CF855" s="51"/>
      <c r="CG855" s="51"/>
      <c r="CH855" s="51"/>
      <c r="CI855" s="51"/>
      <c r="CJ855" s="51"/>
      <c r="CK855" s="51"/>
      <c r="CL855" s="51"/>
      <c r="CM855" s="51"/>
      <c r="CN855" s="51"/>
      <c r="CO855" s="51"/>
      <c r="CP855" s="51"/>
      <c r="CQ855" s="51"/>
      <c r="CR855" s="51"/>
      <c r="CS855" s="51"/>
      <c r="CT855" s="51"/>
      <c r="CU855" s="1"/>
      <c r="CV855" s="1"/>
      <c r="CW855" s="1"/>
      <c r="CX855" s="1"/>
      <c r="CY855" s="1"/>
      <c r="CZ855" s="1"/>
    </row>
    <row r="856" spans="1:104" ht="14.25" customHeight="1">
      <c r="A856" s="1"/>
      <c r="B856" s="2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  <c r="CC856" s="51"/>
      <c r="CD856" s="51"/>
      <c r="CE856" s="51"/>
      <c r="CF856" s="51"/>
      <c r="CG856" s="51"/>
      <c r="CH856" s="51"/>
      <c r="CI856" s="51"/>
      <c r="CJ856" s="51"/>
      <c r="CK856" s="51"/>
      <c r="CL856" s="51"/>
      <c r="CM856" s="51"/>
      <c r="CN856" s="51"/>
      <c r="CO856" s="51"/>
      <c r="CP856" s="51"/>
      <c r="CQ856" s="51"/>
      <c r="CR856" s="51"/>
      <c r="CS856" s="51"/>
      <c r="CT856" s="51"/>
      <c r="CU856" s="1"/>
      <c r="CV856" s="1"/>
      <c r="CW856" s="1"/>
      <c r="CX856" s="1"/>
      <c r="CY856" s="1"/>
      <c r="CZ856" s="1"/>
    </row>
    <row r="857" spans="1:104" ht="14.25" customHeight="1">
      <c r="A857" s="1"/>
      <c r="B857" s="2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  <c r="CC857" s="51"/>
      <c r="CD857" s="51"/>
      <c r="CE857" s="51"/>
      <c r="CF857" s="51"/>
      <c r="CG857" s="51"/>
      <c r="CH857" s="51"/>
      <c r="CI857" s="51"/>
      <c r="CJ857" s="51"/>
      <c r="CK857" s="51"/>
      <c r="CL857" s="51"/>
      <c r="CM857" s="51"/>
      <c r="CN857" s="51"/>
      <c r="CO857" s="51"/>
      <c r="CP857" s="51"/>
      <c r="CQ857" s="51"/>
      <c r="CR857" s="51"/>
      <c r="CS857" s="51"/>
      <c r="CT857" s="51"/>
      <c r="CU857" s="1"/>
      <c r="CV857" s="1"/>
      <c r="CW857" s="1"/>
      <c r="CX857" s="1"/>
      <c r="CY857" s="1"/>
      <c r="CZ857" s="1"/>
    </row>
    <row r="858" spans="1:104" ht="14.25" customHeight="1">
      <c r="A858" s="1"/>
      <c r="B858" s="2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  <c r="CC858" s="51"/>
      <c r="CD858" s="51"/>
      <c r="CE858" s="51"/>
      <c r="CF858" s="51"/>
      <c r="CG858" s="51"/>
      <c r="CH858" s="51"/>
      <c r="CI858" s="51"/>
      <c r="CJ858" s="51"/>
      <c r="CK858" s="51"/>
      <c r="CL858" s="51"/>
      <c r="CM858" s="51"/>
      <c r="CN858" s="51"/>
      <c r="CO858" s="51"/>
      <c r="CP858" s="51"/>
      <c r="CQ858" s="51"/>
      <c r="CR858" s="51"/>
      <c r="CS858" s="51"/>
      <c r="CT858" s="51"/>
      <c r="CU858" s="1"/>
      <c r="CV858" s="1"/>
      <c r="CW858" s="1"/>
      <c r="CX858" s="1"/>
      <c r="CY858" s="1"/>
      <c r="CZ858" s="1"/>
    </row>
    <row r="859" spans="1:104" ht="14.25" customHeight="1">
      <c r="A859" s="1"/>
      <c r="B859" s="2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  <c r="CC859" s="51"/>
      <c r="CD859" s="51"/>
      <c r="CE859" s="51"/>
      <c r="CF859" s="51"/>
      <c r="CG859" s="51"/>
      <c r="CH859" s="51"/>
      <c r="CI859" s="51"/>
      <c r="CJ859" s="51"/>
      <c r="CK859" s="51"/>
      <c r="CL859" s="51"/>
      <c r="CM859" s="51"/>
      <c r="CN859" s="51"/>
      <c r="CO859" s="51"/>
      <c r="CP859" s="51"/>
      <c r="CQ859" s="51"/>
      <c r="CR859" s="51"/>
      <c r="CS859" s="51"/>
      <c r="CT859" s="51"/>
      <c r="CU859" s="1"/>
      <c r="CV859" s="1"/>
      <c r="CW859" s="1"/>
      <c r="CX859" s="1"/>
      <c r="CY859" s="1"/>
      <c r="CZ859" s="1"/>
    </row>
    <row r="860" spans="1:104" ht="14.25" customHeight="1">
      <c r="A860" s="1"/>
      <c r="B860" s="2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  <c r="CC860" s="51"/>
      <c r="CD860" s="51"/>
      <c r="CE860" s="51"/>
      <c r="CF860" s="51"/>
      <c r="CG860" s="51"/>
      <c r="CH860" s="51"/>
      <c r="CI860" s="51"/>
      <c r="CJ860" s="51"/>
      <c r="CK860" s="51"/>
      <c r="CL860" s="51"/>
      <c r="CM860" s="51"/>
      <c r="CN860" s="51"/>
      <c r="CO860" s="51"/>
      <c r="CP860" s="51"/>
      <c r="CQ860" s="51"/>
      <c r="CR860" s="51"/>
      <c r="CS860" s="51"/>
      <c r="CT860" s="51"/>
      <c r="CU860" s="1"/>
      <c r="CV860" s="1"/>
      <c r="CW860" s="1"/>
      <c r="CX860" s="1"/>
      <c r="CY860" s="1"/>
      <c r="CZ860" s="1"/>
    </row>
    <row r="861" spans="1:104" ht="14.25" customHeight="1">
      <c r="A861" s="1"/>
      <c r="B861" s="2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  <c r="CC861" s="51"/>
      <c r="CD861" s="51"/>
      <c r="CE861" s="51"/>
      <c r="CF861" s="51"/>
      <c r="CG861" s="51"/>
      <c r="CH861" s="51"/>
      <c r="CI861" s="51"/>
      <c r="CJ861" s="51"/>
      <c r="CK861" s="51"/>
      <c r="CL861" s="51"/>
      <c r="CM861" s="51"/>
      <c r="CN861" s="51"/>
      <c r="CO861" s="51"/>
      <c r="CP861" s="51"/>
      <c r="CQ861" s="51"/>
      <c r="CR861" s="51"/>
      <c r="CS861" s="51"/>
      <c r="CT861" s="51"/>
      <c r="CU861" s="1"/>
      <c r="CV861" s="1"/>
      <c r="CW861" s="1"/>
      <c r="CX861" s="1"/>
      <c r="CY861" s="1"/>
      <c r="CZ861" s="1"/>
    </row>
    <row r="862" spans="1:104" ht="14.25" customHeight="1">
      <c r="A862" s="1"/>
      <c r="B862" s="2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51"/>
      <c r="CE862" s="51"/>
      <c r="CF862" s="51"/>
      <c r="CG862" s="51"/>
      <c r="CH862" s="51"/>
      <c r="CI862" s="51"/>
      <c r="CJ862" s="51"/>
      <c r="CK862" s="51"/>
      <c r="CL862" s="51"/>
      <c r="CM862" s="51"/>
      <c r="CN862" s="51"/>
      <c r="CO862" s="51"/>
      <c r="CP862" s="51"/>
      <c r="CQ862" s="51"/>
      <c r="CR862" s="51"/>
      <c r="CS862" s="51"/>
      <c r="CT862" s="51"/>
      <c r="CU862" s="1"/>
      <c r="CV862" s="1"/>
      <c r="CW862" s="1"/>
      <c r="CX862" s="1"/>
      <c r="CY862" s="1"/>
      <c r="CZ862" s="1"/>
    </row>
    <row r="863" spans="1:104" ht="14.25" customHeight="1">
      <c r="A863" s="1"/>
      <c r="B863" s="2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  <c r="CC863" s="51"/>
      <c r="CD863" s="51"/>
      <c r="CE863" s="51"/>
      <c r="CF863" s="51"/>
      <c r="CG863" s="51"/>
      <c r="CH863" s="51"/>
      <c r="CI863" s="51"/>
      <c r="CJ863" s="51"/>
      <c r="CK863" s="51"/>
      <c r="CL863" s="51"/>
      <c r="CM863" s="51"/>
      <c r="CN863" s="51"/>
      <c r="CO863" s="51"/>
      <c r="CP863" s="51"/>
      <c r="CQ863" s="51"/>
      <c r="CR863" s="51"/>
      <c r="CS863" s="51"/>
      <c r="CT863" s="51"/>
      <c r="CU863" s="1"/>
      <c r="CV863" s="1"/>
      <c r="CW863" s="1"/>
      <c r="CX863" s="1"/>
      <c r="CY863" s="1"/>
      <c r="CZ863" s="1"/>
    </row>
    <row r="864" spans="1:104" ht="14.25" customHeight="1">
      <c r="A864" s="1"/>
      <c r="B864" s="2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51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51"/>
      <c r="CQ864" s="51"/>
      <c r="CR864" s="51"/>
      <c r="CS864" s="51"/>
      <c r="CT864" s="51"/>
      <c r="CU864" s="1"/>
      <c r="CV864" s="1"/>
      <c r="CW864" s="1"/>
      <c r="CX864" s="1"/>
      <c r="CY864" s="1"/>
      <c r="CZ864" s="1"/>
    </row>
    <row r="865" spans="1:104" ht="14.25" customHeight="1">
      <c r="A865" s="1"/>
      <c r="B865" s="2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  <c r="CC865" s="51"/>
      <c r="CD865" s="51"/>
      <c r="CE865" s="51"/>
      <c r="CF865" s="51"/>
      <c r="CG865" s="51"/>
      <c r="CH865" s="51"/>
      <c r="CI865" s="51"/>
      <c r="CJ865" s="51"/>
      <c r="CK865" s="51"/>
      <c r="CL865" s="51"/>
      <c r="CM865" s="51"/>
      <c r="CN865" s="51"/>
      <c r="CO865" s="51"/>
      <c r="CP865" s="51"/>
      <c r="CQ865" s="51"/>
      <c r="CR865" s="51"/>
      <c r="CS865" s="51"/>
      <c r="CT865" s="51"/>
      <c r="CU865" s="1"/>
      <c r="CV865" s="1"/>
      <c r="CW865" s="1"/>
      <c r="CX865" s="1"/>
      <c r="CY865" s="1"/>
      <c r="CZ865" s="1"/>
    </row>
    <row r="866" spans="1:104" ht="14.25" customHeight="1">
      <c r="A866" s="1"/>
      <c r="B866" s="2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  <c r="CC866" s="51"/>
      <c r="CD866" s="51"/>
      <c r="CE866" s="51"/>
      <c r="CF866" s="51"/>
      <c r="CG866" s="51"/>
      <c r="CH866" s="51"/>
      <c r="CI866" s="51"/>
      <c r="CJ866" s="51"/>
      <c r="CK866" s="51"/>
      <c r="CL866" s="51"/>
      <c r="CM866" s="51"/>
      <c r="CN866" s="51"/>
      <c r="CO866" s="51"/>
      <c r="CP866" s="51"/>
      <c r="CQ866" s="51"/>
      <c r="CR866" s="51"/>
      <c r="CS866" s="51"/>
      <c r="CT866" s="51"/>
      <c r="CU866" s="1"/>
      <c r="CV866" s="1"/>
      <c r="CW866" s="1"/>
      <c r="CX866" s="1"/>
      <c r="CY866" s="1"/>
      <c r="CZ866" s="1"/>
    </row>
    <row r="867" spans="1:104" ht="14.25" customHeight="1">
      <c r="A867" s="1"/>
      <c r="B867" s="2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51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51"/>
      <c r="CQ867" s="51"/>
      <c r="CR867" s="51"/>
      <c r="CS867" s="51"/>
      <c r="CT867" s="51"/>
      <c r="CU867" s="1"/>
      <c r="CV867" s="1"/>
      <c r="CW867" s="1"/>
      <c r="CX867" s="1"/>
      <c r="CY867" s="1"/>
      <c r="CZ867" s="1"/>
    </row>
    <row r="868" spans="1:104" ht="14.25" customHeight="1">
      <c r="A868" s="1"/>
      <c r="B868" s="2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  <c r="CC868" s="51"/>
      <c r="CD868" s="51"/>
      <c r="CE868" s="51"/>
      <c r="CF868" s="51"/>
      <c r="CG868" s="51"/>
      <c r="CH868" s="51"/>
      <c r="CI868" s="51"/>
      <c r="CJ868" s="51"/>
      <c r="CK868" s="51"/>
      <c r="CL868" s="51"/>
      <c r="CM868" s="51"/>
      <c r="CN868" s="51"/>
      <c r="CO868" s="51"/>
      <c r="CP868" s="51"/>
      <c r="CQ868" s="51"/>
      <c r="CR868" s="51"/>
      <c r="CS868" s="51"/>
      <c r="CT868" s="51"/>
      <c r="CU868" s="1"/>
      <c r="CV868" s="1"/>
      <c r="CW868" s="1"/>
      <c r="CX868" s="1"/>
      <c r="CY868" s="1"/>
      <c r="CZ868" s="1"/>
    </row>
    <row r="869" spans="1:104" ht="14.25" customHeight="1">
      <c r="A869" s="1"/>
      <c r="B869" s="2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51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  <c r="CO869" s="51"/>
      <c r="CP869" s="51"/>
      <c r="CQ869" s="51"/>
      <c r="CR869" s="51"/>
      <c r="CS869" s="51"/>
      <c r="CT869" s="51"/>
      <c r="CU869" s="1"/>
      <c r="CV869" s="1"/>
      <c r="CW869" s="1"/>
      <c r="CX869" s="1"/>
      <c r="CY869" s="1"/>
      <c r="CZ869" s="1"/>
    </row>
    <row r="870" spans="1:104" ht="14.25" customHeight="1">
      <c r="A870" s="1"/>
      <c r="B870" s="2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  <c r="CC870" s="51"/>
      <c r="CD870" s="51"/>
      <c r="CE870" s="51"/>
      <c r="CF870" s="51"/>
      <c r="CG870" s="51"/>
      <c r="CH870" s="51"/>
      <c r="CI870" s="51"/>
      <c r="CJ870" s="51"/>
      <c r="CK870" s="51"/>
      <c r="CL870" s="51"/>
      <c r="CM870" s="51"/>
      <c r="CN870" s="51"/>
      <c r="CO870" s="51"/>
      <c r="CP870" s="51"/>
      <c r="CQ870" s="51"/>
      <c r="CR870" s="51"/>
      <c r="CS870" s="51"/>
      <c r="CT870" s="51"/>
      <c r="CU870" s="1"/>
      <c r="CV870" s="1"/>
      <c r="CW870" s="1"/>
      <c r="CX870" s="1"/>
      <c r="CY870" s="1"/>
      <c r="CZ870" s="1"/>
    </row>
    <row r="871" spans="1:104" ht="14.25" customHeight="1">
      <c r="A871" s="1"/>
      <c r="B871" s="2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  <c r="CC871" s="51"/>
      <c r="CD871" s="51"/>
      <c r="CE871" s="51"/>
      <c r="CF871" s="51"/>
      <c r="CG871" s="51"/>
      <c r="CH871" s="51"/>
      <c r="CI871" s="51"/>
      <c r="CJ871" s="51"/>
      <c r="CK871" s="51"/>
      <c r="CL871" s="51"/>
      <c r="CM871" s="51"/>
      <c r="CN871" s="51"/>
      <c r="CO871" s="51"/>
      <c r="CP871" s="51"/>
      <c r="CQ871" s="51"/>
      <c r="CR871" s="51"/>
      <c r="CS871" s="51"/>
      <c r="CT871" s="51"/>
      <c r="CU871" s="1"/>
      <c r="CV871" s="1"/>
      <c r="CW871" s="1"/>
      <c r="CX871" s="1"/>
      <c r="CY871" s="1"/>
      <c r="CZ871" s="1"/>
    </row>
    <row r="872" spans="1:104" ht="14.25" customHeight="1">
      <c r="A872" s="1"/>
      <c r="B872" s="2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  <c r="CC872" s="51"/>
      <c r="CD872" s="51"/>
      <c r="CE872" s="51"/>
      <c r="CF872" s="51"/>
      <c r="CG872" s="51"/>
      <c r="CH872" s="51"/>
      <c r="CI872" s="51"/>
      <c r="CJ872" s="51"/>
      <c r="CK872" s="51"/>
      <c r="CL872" s="51"/>
      <c r="CM872" s="51"/>
      <c r="CN872" s="51"/>
      <c r="CO872" s="51"/>
      <c r="CP872" s="51"/>
      <c r="CQ872" s="51"/>
      <c r="CR872" s="51"/>
      <c r="CS872" s="51"/>
      <c r="CT872" s="51"/>
      <c r="CU872" s="1"/>
      <c r="CV872" s="1"/>
      <c r="CW872" s="1"/>
      <c r="CX872" s="1"/>
      <c r="CY872" s="1"/>
      <c r="CZ872" s="1"/>
    </row>
    <row r="873" spans="1:104" ht="14.25" customHeight="1">
      <c r="A873" s="1"/>
      <c r="B873" s="2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1"/>
      <c r="CA873" s="51"/>
      <c r="CB873" s="51"/>
      <c r="CC873" s="51"/>
      <c r="CD873" s="51"/>
      <c r="CE873" s="51"/>
      <c r="CF873" s="51"/>
      <c r="CG873" s="51"/>
      <c r="CH873" s="51"/>
      <c r="CI873" s="51"/>
      <c r="CJ873" s="51"/>
      <c r="CK873" s="51"/>
      <c r="CL873" s="51"/>
      <c r="CM873" s="51"/>
      <c r="CN873" s="51"/>
      <c r="CO873" s="51"/>
      <c r="CP873" s="51"/>
      <c r="CQ873" s="51"/>
      <c r="CR873" s="51"/>
      <c r="CS873" s="51"/>
      <c r="CT873" s="51"/>
      <c r="CU873" s="1"/>
      <c r="CV873" s="1"/>
      <c r="CW873" s="1"/>
      <c r="CX873" s="1"/>
      <c r="CY873" s="1"/>
      <c r="CZ873" s="1"/>
    </row>
    <row r="874" spans="1:104" ht="14.25" customHeight="1">
      <c r="A874" s="1"/>
      <c r="B874" s="2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1"/>
      <c r="CA874" s="51"/>
      <c r="CB874" s="51"/>
      <c r="CC874" s="51"/>
      <c r="CD874" s="51"/>
      <c r="CE874" s="51"/>
      <c r="CF874" s="51"/>
      <c r="CG874" s="51"/>
      <c r="CH874" s="51"/>
      <c r="CI874" s="51"/>
      <c r="CJ874" s="51"/>
      <c r="CK874" s="51"/>
      <c r="CL874" s="51"/>
      <c r="CM874" s="51"/>
      <c r="CN874" s="51"/>
      <c r="CO874" s="51"/>
      <c r="CP874" s="51"/>
      <c r="CQ874" s="51"/>
      <c r="CR874" s="51"/>
      <c r="CS874" s="51"/>
      <c r="CT874" s="51"/>
      <c r="CU874" s="1"/>
      <c r="CV874" s="1"/>
      <c r="CW874" s="1"/>
      <c r="CX874" s="1"/>
      <c r="CY874" s="1"/>
      <c r="CZ874" s="1"/>
    </row>
    <row r="875" spans="1:104" ht="14.25" customHeight="1">
      <c r="A875" s="1"/>
      <c r="B875" s="2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  <c r="CC875" s="51"/>
      <c r="CD875" s="51"/>
      <c r="CE875" s="51"/>
      <c r="CF875" s="51"/>
      <c r="CG875" s="51"/>
      <c r="CH875" s="51"/>
      <c r="CI875" s="51"/>
      <c r="CJ875" s="51"/>
      <c r="CK875" s="51"/>
      <c r="CL875" s="51"/>
      <c r="CM875" s="51"/>
      <c r="CN875" s="51"/>
      <c r="CO875" s="51"/>
      <c r="CP875" s="51"/>
      <c r="CQ875" s="51"/>
      <c r="CR875" s="51"/>
      <c r="CS875" s="51"/>
      <c r="CT875" s="51"/>
      <c r="CU875" s="1"/>
      <c r="CV875" s="1"/>
      <c r="CW875" s="1"/>
      <c r="CX875" s="1"/>
      <c r="CY875" s="1"/>
      <c r="CZ875" s="1"/>
    </row>
    <row r="876" spans="1:104" ht="14.25" customHeight="1">
      <c r="A876" s="1"/>
      <c r="B876" s="2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1"/>
      <c r="CA876" s="51"/>
      <c r="CB876" s="51"/>
      <c r="CC876" s="51"/>
      <c r="CD876" s="51"/>
      <c r="CE876" s="51"/>
      <c r="CF876" s="51"/>
      <c r="CG876" s="51"/>
      <c r="CH876" s="51"/>
      <c r="CI876" s="51"/>
      <c r="CJ876" s="51"/>
      <c r="CK876" s="51"/>
      <c r="CL876" s="51"/>
      <c r="CM876" s="51"/>
      <c r="CN876" s="51"/>
      <c r="CO876" s="51"/>
      <c r="CP876" s="51"/>
      <c r="CQ876" s="51"/>
      <c r="CR876" s="51"/>
      <c r="CS876" s="51"/>
      <c r="CT876" s="51"/>
      <c r="CU876" s="1"/>
      <c r="CV876" s="1"/>
      <c r="CW876" s="1"/>
      <c r="CX876" s="1"/>
      <c r="CY876" s="1"/>
      <c r="CZ876" s="1"/>
    </row>
    <row r="877" spans="1:104" ht="14.25" customHeight="1">
      <c r="A877" s="1"/>
      <c r="B877" s="2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1"/>
      <c r="CA877" s="51"/>
      <c r="CB877" s="51"/>
      <c r="CC877" s="51"/>
      <c r="CD877" s="51"/>
      <c r="CE877" s="51"/>
      <c r="CF877" s="51"/>
      <c r="CG877" s="51"/>
      <c r="CH877" s="51"/>
      <c r="CI877" s="51"/>
      <c r="CJ877" s="51"/>
      <c r="CK877" s="51"/>
      <c r="CL877" s="51"/>
      <c r="CM877" s="51"/>
      <c r="CN877" s="51"/>
      <c r="CO877" s="51"/>
      <c r="CP877" s="51"/>
      <c r="CQ877" s="51"/>
      <c r="CR877" s="51"/>
      <c r="CS877" s="51"/>
      <c r="CT877" s="51"/>
      <c r="CU877" s="1"/>
      <c r="CV877" s="1"/>
      <c r="CW877" s="1"/>
      <c r="CX877" s="1"/>
      <c r="CY877" s="1"/>
      <c r="CZ877" s="1"/>
    </row>
    <row r="878" spans="1:104" ht="14.25" customHeight="1">
      <c r="A878" s="1"/>
      <c r="B878" s="2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  <c r="CC878" s="51"/>
      <c r="CD878" s="51"/>
      <c r="CE878" s="51"/>
      <c r="CF878" s="51"/>
      <c r="CG878" s="51"/>
      <c r="CH878" s="51"/>
      <c r="CI878" s="51"/>
      <c r="CJ878" s="51"/>
      <c r="CK878" s="51"/>
      <c r="CL878" s="51"/>
      <c r="CM878" s="51"/>
      <c r="CN878" s="51"/>
      <c r="CO878" s="51"/>
      <c r="CP878" s="51"/>
      <c r="CQ878" s="51"/>
      <c r="CR878" s="51"/>
      <c r="CS878" s="51"/>
      <c r="CT878" s="51"/>
      <c r="CU878" s="1"/>
      <c r="CV878" s="1"/>
      <c r="CW878" s="1"/>
      <c r="CX878" s="1"/>
      <c r="CY878" s="1"/>
      <c r="CZ878" s="1"/>
    </row>
    <row r="879" spans="1:104" ht="14.25" customHeight="1">
      <c r="A879" s="1"/>
      <c r="B879" s="2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1"/>
      <c r="CA879" s="51"/>
      <c r="CB879" s="51"/>
      <c r="CC879" s="51"/>
      <c r="CD879" s="51"/>
      <c r="CE879" s="51"/>
      <c r="CF879" s="51"/>
      <c r="CG879" s="51"/>
      <c r="CH879" s="51"/>
      <c r="CI879" s="51"/>
      <c r="CJ879" s="51"/>
      <c r="CK879" s="51"/>
      <c r="CL879" s="51"/>
      <c r="CM879" s="51"/>
      <c r="CN879" s="51"/>
      <c r="CO879" s="51"/>
      <c r="CP879" s="51"/>
      <c r="CQ879" s="51"/>
      <c r="CR879" s="51"/>
      <c r="CS879" s="51"/>
      <c r="CT879" s="51"/>
      <c r="CU879" s="1"/>
      <c r="CV879" s="1"/>
      <c r="CW879" s="1"/>
      <c r="CX879" s="1"/>
      <c r="CY879" s="1"/>
      <c r="CZ879" s="1"/>
    </row>
    <row r="880" spans="1:104" ht="14.25" customHeight="1">
      <c r="A880" s="1"/>
      <c r="B880" s="2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1"/>
      <c r="CA880" s="51"/>
      <c r="CB880" s="51"/>
      <c r="CC880" s="51"/>
      <c r="CD880" s="51"/>
      <c r="CE880" s="51"/>
      <c r="CF880" s="51"/>
      <c r="CG880" s="51"/>
      <c r="CH880" s="51"/>
      <c r="CI880" s="51"/>
      <c r="CJ880" s="51"/>
      <c r="CK880" s="51"/>
      <c r="CL880" s="51"/>
      <c r="CM880" s="51"/>
      <c r="CN880" s="51"/>
      <c r="CO880" s="51"/>
      <c r="CP880" s="51"/>
      <c r="CQ880" s="51"/>
      <c r="CR880" s="51"/>
      <c r="CS880" s="51"/>
      <c r="CT880" s="51"/>
      <c r="CU880" s="1"/>
      <c r="CV880" s="1"/>
      <c r="CW880" s="1"/>
      <c r="CX880" s="1"/>
      <c r="CY880" s="1"/>
      <c r="CZ880" s="1"/>
    </row>
    <row r="881" spans="1:104" ht="14.25" customHeight="1">
      <c r="A881" s="1"/>
      <c r="B881" s="2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1"/>
      <c r="CA881" s="51"/>
      <c r="CB881" s="51"/>
      <c r="CC881" s="51"/>
      <c r="CD881" s="51"/>
      <c r="CE881" s="51"/>
      <c r="CF881" s="51"/>
      <c r="CG881" s="51"/>
      <c r="CH881" s="51"/>
      <c r="CI881" s="51"/>
      <c r="CJ881" s="51"/>
      <c r="CK881" s="51"/>
      <c r="CL881" s="51"/>
      <c r="CM881" s="51"/>
      <c r="CN881" s="51"/>
      <c r="CO881" s="51"/>
      <c r="CP881" s="51"/>
      <c r="CQ881" s="51"/>
      <c r="CR881" s="51"/>
      <c r="CS881" s="51"/>
      <c r="CT881" s="51"/>
      <c r="CU881" s="1"/>
      <c r="CV881" s="1"/>
      <c r="CW881" s="1"/>
      <c r="CX881" s="1"/>
      <c r="CY881" s="1"/>
      <c r="CZ881" s="1"/>
    </row>
    <row r="882" spans="1:104" ht="14.25" customHeight="1">
      <c r="A882" s="1"/>
      <c r="B882" s="2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1"/>
      <c r="CA882" s="51"/>
      <c r="CB882" s="51"/>
      <c r="CC882" s="51"/>
      <c r="CD882" s="51"/>
      <c r="CE882" s="51"/>
      <c r="CF882" s="51"/>
      <c r="CG882" s="51"/>
      <c r="CH882" s="51"/>
      <c r="CI882" s="51"/>
      <c r="CJ882" s="51"/>
      <c r="CK882" s="51"/>
      <c r="CL882" s="51"/>
      <c r="CM882" s="51"/>
      <c r="CN882" s="51"/>
      <c r="CO882" s="51"/>
      <c r="CP882" s="51"/>
      <c r="CQ882" s="51"/>
      <c r="CR882" s="51"/>
      <c r="CS882" s="51"/>
      <c r="CT882" s="51"/>
      <c r="CU882" s="1"/>
      <c r="CV882" s="1"/>
      <c r="CW882" s="1"/>
      <c r="CX882" s="1"/>
      <c r="CY882" s="1"/>
      <c r="CZ882" s="1"/>
    </row>
    <row r="883" spans="1:104" ht="14.25" customHeight="1">
      <c r="A883" s="1"/>
      <c r="B883" s="2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1"/>
      <c r="CA883" s="51"/>
      <c r="CB883" s="51"/>
      <c r="CC883" s="51"/>
      <c r="CD883" s="51"/>
      <c r="CE883" s="51"/>
      <c r="CF883" s="51"/>
      <c r="CG883" s="51"/>
      <c r="CH883" s="51"/>
      <c r="CI883" s="51"/>
      <c r="CJ883" s="51"/>
      <c r="CK883" s="51"/>
      <c r="CL883" s="51"/>
      <c r="CM883" s="51"/>
      <c r="CN883" s="51"/>
      <c r="CO883" s="51"/>
      <c r="CP883" s="51"/>
      <c r="CQ883" s="51"/>
      <c r="CR883" s="51"/>
      <c r="CS883" s="51"/>
      <c r="CT883" s="51"/>
      <c r="CU883" s="1"/>
      <c r="CV883" s="1"/>
      <c r="CW883" s="1"/>
      <c r="CX883" s="1"/>
      <c r="CY883" s="1"/>
      <c r="CZ883" s="1"/>
    </row>
    <row r="884" spans="1:104" ht="14.25" customHeight="1">
      <c r="A884" s="1"/>
      <c r="B884" s="2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1"/>
      <c r="CA884" s="51"/>
      <c r="CB884" s="51"/>
      <c r="CC884" s="51"/>
      <c r="CD884" s="51"/>
      <c r="CE884" s="51"/>
      <c r="CF884" s="51"/>
      <c r="CG884" s="51"/>
      <c r="CH884" s="51"/>
      <c r="CI884" s="51"/>
      <c r="CJ884" s="51"/>
      <c r="CK884" s="51"/>
      <c r="CL884" s="51"/>
      <c r="CM884" s="51"/>
      <c r="CN884" s="51"/>
      <c r="CO884" s="51"/>
      <c r="CP884" s="51"/>
      <c r="CQ884" s="51"/>
      <c r="CR884" s="51"/>
      <c r="CS884" s="51"/>
      <c r="CT884" s="51"/>
      <c r="CU884" s="1"/>
      <c r="CV884" s="1"/>
      <c r="CW884" s="1"/>
      <c r="CX884" s="1"/>
      <c r="CY884" s="1"/>
      <c r="CZ884" s="1"/>
    </row>
    <row r="885" spans="1:104" ht="14.25" customHeight="1">
      <c r="A885" s="1"/>
      <c r="B885" s="2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  <c r="CC885" s="51"/>
      <c r="CD885" s="51"/>
      <c r="CE885" s="51"/>
      <c r="CF885" s="51"/>
      <c r="CG885" s="51"/>
      <c r="CH885" s="51"/>
      <c r="CI885" s="51"/>
      <c r="CJ885" s="51"/>
      <c r="CK885" s="51"/>
      <c r="CL885" s="51"/>
      <c r="CM885" s="51"/>
      <c r="CN885" s="51"/>
      <c r="CO885" s="51"/>
      <c r="CP885" s="51"/>
      <c r="CQ885" s="51"/>
      <c r="CR885" s="51"/>
      <c r="CS885" s="51"/>
      <c r="CT885" s="51"/>
      <c r="CU885" s="1"/>
      <c r="CV885" s="1"/>
      <c r="CW885" s="1"/>
      <c r="CX885" s="1"/>
      <c r="CY885" s="1"/>
      <c r="CZ885" s="1"/>
    </row>
    <row r="886" spans="1:104" ht="14.25" customHeight="1">
      <c r="A886" s="1"/>
      <c r="B886" s="2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  <c r="CC886" s="51"/>
      <c r="CD886" s="51"/>
      <c r="CE886" s="51"/>
      <c r="CF886" s="51"/>
      <c r="CG886" s="51"/>
      <c r="CH886" s="51"/>
      <c r="CI886" s="51"/>
      <c r="CJ886" s="51"/>
      <c r="CK886" s="51"/>
      <c r="CL886" s="51"/>
      <c r="CM886" s="51"/>
      <c r="CN886" s="51"/>
      <c r="CO886" s="51"/>
      <c r="CP886" s="51"/>
      <c r="CQ886" s="51"/>
      <c r="CR886" s="51"/>
      <c r="CS886" s="51"/>
      <c r="CT886" s="51"/>
      <c r="CU886" s="1"/>
      <c r="CV886" s="1"/>
      <c r="CW886" s="1"/>
      <c r="CX886" s="1"/>
      <c r="CY886" s="1"/>
      <c r="CZ886" s="1"/>
    </row>
    <row r="887" spans="1:104" ht="14.25" customHeight="1">
      <c r="A887" s="1"/>
      <c r="B887" s="2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  <c r="CC887" s="51"/>
      <c r="CD887" s="51"/>
      <c r="CE887" s="51"/>
      <c r="CF887" s="51"/>
      <c r="CG887" s="51"/>
      <c r="CH887" s="51"/>
      <c r="CI887" s="51"/>
      <c r="CJ887" s="51"/>
      <c r="CK887" s="51"/>
      <c r="CL887" s="51"/>
      <c r="CM887" s="51"/>
      <c r="CN887" s="51"/>
      <c r="CO887" s="51"/>
      <c r="CP887" s="51"/>
      <c r="CQ887" s="51"/>
      <c r="CR887" s="51"/>
      <c r="CS887" s="51"/>
      <c r="CT887" s="51"/>
      <c r="CU887" s="1"/>
      <c r="CV887" s="1"/>
      <c r="CW887" s="1"/>
      <c r="CX887" s="1"/>
      <c r="CY887" s="1"/>
      <c r="CZ887" s="1"/>
    </row>
    <row r="888" spans="1:104" ht="14.25" customHeight="1">
      <c r="A888" s="1"/>
      <c r="B888" s="2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1"/>
      <c r="CA888" s="51"/>
      <c r="CB888" s="51"/>
      <c r="CC888" s="51"/>
      <c r="CD888" s="51"/>
      <c r="CE888" s="51"/>
      <c r="CF888" s="51"/>
      <c r="CG888" s="51"/>
      <c r="CH888" s="51"/>
      <c r="CI888" s="51"/>
      <c r="CJ888" s="51"/>
      <c r="CK888" s="51"/>
      <c r="CL888" s="51"/>
      <c r="CM888" s="51"/>
      <c r="CN888" s="51"/>
      <c r="CO888" s="51"/>
      <c r="CP888" s="51"/>
      <c r="CQ888" s="51"/>
      <c r="CR888" s="51"/>
      <c r="CS888" s="51"/>
      <c r="CT888" s="51"/>
      <c r="CU888" s="1"/>
      <c r="CV888" s="1"/>
      <c r="CW888" s="1"/>
      <c r="CX888" s="1"/>
      <c r="CY888" s="1"/>
      <c r="CZ888" s="1"/>
    </row>
    <row r="889" spans="1:104" ht="14.25" customHeight="1">
      <c r="A889" s="1"/>
      <c r="B889" s="2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1"/>
      <c r="CA889" s="51"/>
      <c r="CB889" s="51"/>
      <c r="CC889" s="51"/>
      <c r="CD889" s="51"/>
      <c r="CE889" s="51"/>
      <c r="CF889" s="51"/>
      <c r="CG889" s="51"/>
      <c r="CH889" s="51"/>
      <c r="CI889" s="51"/>
      <c r="CJ889" s="51"/>
      <c r="CK889" s="51"/>
      <c r="CL889" s="51"/>
      <c r="CM889" s="51"/>
      <c r="CN889" s="51"/>
      <c r="CO889" s="51"/>
      <c r="CP889" s="51"/>
      <c r="CQ889" s="51"/>
      <c r="CR889" s="51"/>
      <c r="CS889" s="51"/>
      <c r="CT889" s="51"/>
      <c r="CU889" s="1"/>
      <c r="CV889" s="1"/>
      <c r="CW889" s="1"/>
      <c r="CX889" s="1"/>
      <c r="CY889" s="1"/>
      <c r="CZ889" s="1"/>
    </row>
    <row r="890" spans="1:104" ht="14.25" customHeight="1">
      <c r="A890" s="1"/>
      <c r="B890" s="2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1"/>
      <c r="CA890" s="51"/>
      <c r="CB890" s="51"/>
      <c r="CC890" s="51"/>
      <c r="CD890" s="51"/>
      <c r="CE890" s="51"/>
      <c r="CF890" s="51"/>
      <c r="CG890" s="51"/>
      <c r="CH890" s="51"/>
      <c r="CI890" s="51"/>
      <c r="CJ890" s="51"/>
      <c r="CK890" s="51"/>
      <c r="CL890" s="51"/>
      <c r="CM890" s="51"/>
      <c r="CN890" s="51"/>
      <c r="CO890" s="51"/>
      <c r="CP890" s="51"/>
      <c r="CQ890" s="51"/>
      <c r="CR890" s="51"/>
      <c r="CS890" s="51"/>
      <c r="CT890" s="51"/>
      <c r="CU890" s="1"/>
      <c r="CV890" s="1"/>
      <c r="CW890" s="1"/>
      <c r="CX890" s="1"/>
      <c r="CY890" s="1"/>
      <c r="CZ890" s="1"/>
    </row>
    <row r="891" spans="1:104" ht="14.25" customHeight="1">
      <c r="A891" s="1"/>
      <c r="B891" s="2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1"/>
      <c r="CA891" s="51"/>
      <c r="CB891" s="51"/>
      <c r="CC891" s="51"/>
      <c r="CD891" s="51"/>
      <c r="CE891" s="51"/>
      <c r="CF891" s="51"/>
      <c r="CG891" s="51"/>
      <c r="CH891" s="51"/>
      <c r="CI891" s="51"/>
      <c r="CJ891" s="51"/>
      <c r="CK891" s="51"/>
      <c r="CL891" s="51"/>
      <c r="CM891" s="51"/>
      <c r="CN891" s="51"/>
      <c r="CO891" s="51"/>
      <c r="CP891" s="51"/>
      <c r="CQ891" s="51"/>
      <c r="CR891" s="51"/>
      <c r="CS891" s="51"/>
      <c r="CT891" s="51"/>
      <c r="CU891" s="1"/>
      <c r="CV891" s="1"/>
      <c r="CW891" s="1"/>
      <c r="CX891" s="1"/>
      <c r="CY891" s="1"/>
      <c r="CZ891" s="1"/>
    </row>
    <row r="892" spans="1:104" ht="14.25" customHeight="1">
      <c r="A892" s="1"/>
      <c r="B892" s="2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1"/>
      <c r="CA892" s="51"/>
      <c r="CB892" s="51"/>
      <c r="CC892" s="51"/>
      <c r="CD892" s="51"/>
      <c r="CE892" s="51"/>
      <c r="CF892" s="51"/>
      <c r="CG892" s="51"/>
      <c r="CH892" s="51"/>
      <c r="CI892" s="51"/>
      <c r="CJ892" s="51"/>
      <c r="CK892" s="51"/>
      <c r="CL892" s="51"/>
      <c r="CM892" s="51"/>
      <c r="CN892" s="51"/>
      <c r="CO892" s="51"/>
      <c r="CP892" s="51"/>
      <c r="CQ892" s="51"/>
      <c r="CR892" s="51"/>
      <c r="CS892" s="51"/>
      <c r="CT892" s="51"/>
      <c r="CU892" s="1"/>
      <c r="CV892" s="1"/>
      <c r="CW892" s="1"/>
      <c r="CX892" s="1"/>
      <c r="CY892" s="1"/>
      <c r="CZ892" s="1"/>
    </row>
    <row r="893" spans="1:104" ht="14.25" customHeight="1">
      <c r="A893" s="1"/>
      <c r="B893" s="2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1"/>
      <c r="CA893" s="51"/>
      <c r="CB893" s="51"/>
      <c r="CC893" s="51"/>
      <c r="CD893" s="51"/>
      <c r="CE893" s="51"/>
      <c r="CF893" s="51"/>
      <c r="CG893" s="51"/>
      <c r="CH893" s="51"/>
      <c r="CI893" s="51"/>
      <c r="CJ893" s="51"/>
      <c r="CK893" s="51"/>
      <c r="CL893" s="51"/>
      <c r="CM893" s="51"/>
      <c r="CN893" s="51"/>
      <c r="CO893" s="51"/>
      <c r="CP893" s="51"/>
      <c r="CQ893" s="51"/>
      <c r="CR893" s="51"/>
      <c r="CS893" s="51"/>
      <c r="CT893" s="51"/>
      <c r="CU893" s="1"/>
      <c r="CV893" s="1"/>
      <c r="CW893" s="1"/>
      <c r="CX893" s="1"/>
      <c r="CY893" s="1"/>
      <c r="CZ893" s="1"/>
    </row>
    <row r="894" spans="1:104" ht="14.25" customHeight="1">
      <c r="A894" s="1"/>
      <c r="B894" s="2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1"/>
      <c r="CA894" s="51"/>
      <c r="CB894" s="51"/>
      <c r="CC894" s="51"/>
      <c r="CD894" s="51"/>
      <c r="CE894" s="51"/>
      <c r="CF894" s="51"/>
      <c r="CG894" s="51"/>
      <c r="CH894" s="51"/>
      <c r="CI894" s="51"/>
      <c r="CJ894" s="51"/>
      <c r="CK894" s="51"/>
      <c r="CL894" s="51"/>
      <c r="CM894" s="51"/>
      <c r="CN894" s="51"/>
      <c r="CO894" s="51"/>
      <c r="CP894" s="51"/>
      <c r="CQ894" s="51"/>
      <c r="CR894" s="51"/>
      <c r="CS894" s="51"/>
      <c r="CT894" s="51"/>
      <c r="CU894" s="1"/>
      <c r="CV894" s="1"/>
      <c r="CW894" s="1"/>
      <c r="CX894" s="1"/>
      <c r="CY894" s="1"/>
      <c r="CZ894" s="1"/>
    </row>
    <row r="895" spans="1:104" ht="14.25" customHeight="1">
      <c r="A895" s="1"/>
      <c r="B895" s="2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1"/>
      <c r="CA895" s="51"/>
      <c r="CB895" s="51"/>
      <c r="CC895" s="51"/>
      <c r="CD895" s="51"/>
      <c r="CE895" s="51"/>
      <c r="CF895" s="51"/>
      <c r="CG895" s="51"/>
      <c r="CH895" s="51"/>
      <c r="CI895" s="51"/>
      <c r="CJ895" s="51"/>
      <c r="CK895" s="51"/>
      <c r="CL895" s="51"/>
      <c r="CM895" s="51"/>
      <c r="CN895" s="51"/>
      <c r="CO895" s="51"/>
      <c r="CP895" s="51"/>
      <c r="CQ895" s="51"/>
      <c r="CR895" s="51"/>
      <c r="CS895" s="51"/>
      <c r="CT895" s="51"/>
      <c r="CU895" s="1"/>
      <c r="CV895" s="1"/>
      <c r="CW895" s="1"/>
      <c r="CX895" s="1"/>
      <c r="CY895" s="1"/>
      <c r="CZ895" s="1"/>
    </row>
    <row r="896" spans="1:104" ht="14.25" customHeight="1">
      <c r="A896" s="1"/>
      <c r="B896" s="2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  <c r="CC896" s="51"/>
      <c r="CD896" s="51"/>
      <c r="CE896" s="51"/>
      <c r="CF896" s="51"/>
      <c r="CG896" s="51"/>
      <c r="CH896" s="51"/>
      <c r="CI896" s="51"/>
      <c r="CJ896" s="51"/>
      <c r="CK896" s="51"/>
      <c r="CL896" s="51"/>
      <c r="CM896" s="51"/>
      <c r="CN896" s="51"/>
      <c r="CO896" s="51"/>
      <c r="CP896" s="51"/>
      <c r="CQ896" s="51"/>
      <c r="CR896" s="51"/>
      <c r="CS896" s="51"/>
      <c r="CT896" s="51"/>
      <c r="CU896" s="1"/>
      <c r="CV896" s="1"/>
      <c r="CW896" s="1"/>
      <c r="CX896" s="1"/>
      <c r="CY896" s="1"/>
      <c r="CZ896" s="1"/>
    </row>
    <row r="897" spans="1:104" ht="14.25" customHeight="1">
      <c r="A897" s="1"/>
      <c r="B897" s="2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  <c r="CC897" s="51"/>
      <c r="CD897" s="51"/>
      <c r="CE897" s="51"/>
      <c r="CF897" s="51"/>
      <c r="CG897" s="51"/>
      <c r="CH897" s="51"/>
      <c r="CI897" s="51"/>
      <c r="CJ897" s="51"/>
      <c r="CK897" s="51"/>
      <c r="CL897" s="51"/>
      <c r="CM897" s="51"/>
      <c r="CN897" s="51"/>
      <c r="CO897" s="51"/>
      <c r="CP897" s="51"/>
      <c r="CQ897" s="51"/>
      <c r="CR897" s="51"/>
      <c r="CS897" s="51"/>
      <c r="CT897" s="51"/>
      <c r="CU897" s="1"/>
      <c r="CV897" s="1"/>
      <c r="CW897" s="1"/>
      <c r="CX897" s="1"/>
      <c r="CY897" s="1"/>
      <c r="CZ897" s="1"/>
    </row>
    <row r="898" spans="1:104" ht="14.25" customHeight="1">
      <c r="A898" s="1"/>
      <c r="B898" s="2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1"/>
      <c r="CA898" s="51"/>
      <c r="CB898" s="51"/>
      <c r="CC898" s="51"/>
      <c r="CD898" s="51"/>
      <c r="CE898" s="51"/>
      <c r="CF898" s="51"/>
      <c r="CG898" s="51"/>
      <c r="CH898" s="51"/>
      <c r="CI898" s="51"/>
      <c r="CJ898" s="51"/>
      <c r="CK898" s="51"/>
      <c r="CL898" s="51"/>
      <c r="CM898" s="51"/>
      <c r="CN898" s="51"/>
      <c r="CO898" s="51"/>
      <c r="CP898" s="51"/>
      <c r="CQ898" s="51"/>
      <c r="CR898" s="51"/>
      <c r="CS898" s="51"/>
      <c r="CT898" s="51"/>
      <c r="CU898" s="1"/>
      <c r="CV898" s="1"/>
      <c r="CW898" s="1"/>
      <c r="CX898" s="1"/>
      <c r="CY898" s="1"/>
      <c r="CZ898" s="1"/>
    </row>
    <row r="899" spans="1:104" ht="14.25" customHeight="1">
      <c r="A899" s="1"/>
      <c r="B899" s="2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1"/>
      <c r="CA899" s="51"/>
      <c r="CB899" s="51"/>
      <c r="CC899" s="51"/>
      <c r="CD899" s="51"/>
      <c r="CE899" s="51"/>
      <c r="CF899" s="51"/>
      <c r="CG899" s="51"/>
      <c r="CH899" s="51"/>
      <c r="CI899" s="51"/>
      <c r="CJ899" s="51"/>
      <c r="CK899" s="51"/>
      <c r="CL899" s="51"/>
      <c r="CM899" s="51"/>
      <c r="CN899" s="51"/>
      <c r="CO899" s="51"/>
      <c r="CP899" s="51"/>
      <c r="CQ899" s="51"/>
      <c r="CR899" s="51"/>
      <c r="CS899" s="51"/>
      <c r="CT899" s="51"/>
      <c r="CU899" s="1"/>
      <c r="CV899" s="1"/>
      <c r="CW899" s="1"/>
      <c r="CX899" s="1"/>
      <c r="CY899" s="1"/>
      <c r="CZ899" s="1"/>
    </row>
    <row r="900" spans="1:104" ht="14.25" customHeight="1">
      <c r="A900" s="1"/>
      <c r="B900" s="2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1"/>
      <c r="CA900" s="51"/>
      <c r="CB900" s="51"/>
      <c r="CC900" s="51"/>
      <c r="CD900" s="51"/>
      <c r="CE900" s="51"/>
      <c r="CF900" s="51"/>
      <c r="CG900" s="51"/>
      <c r="CH900" s="51"/>
      <c r="CI900" s="51"/>
      <c r="CJ900" s="51"/>
      <c r="CK900" s="51"/>
      <c r="CL900" s="51"/>
      <c r="CM900" s="51"/>
      <c r="CN900" s="51"/>
      <c r="CO900" s="51"/>
      <c r="CP900" s="51"/>
      <c r="CQ900" s="51"/>
      <c r="CR900" s="51"/>
      <c r="CS900" s="51"/>
      <c r="CT900" s="51"/>
      <c r="CU900" s="1"/>
      <c r="CV900" s="1"/>
      <c r="CW900" s="1"/>
      <c r="CX900" s="1"/>
      <c r="CY900" s="1"/>
      <c r="CZ900" s="1"/>
    </row>
    <row r="901" spans="1:104" ht="14.25" customHeight="1">
      <c r="A901" s="1"/>
      <c r="B901" s="2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  <c r="CC901" s="51"/>
      <c r="CD901" s="51"/>
      <c r="CE901" s="51"/>
      <c r="CF901" s="51"/>
      <c r="CG901" s="51"/>
      <c r="CH901" s="51"/>
      <c r="CI901" s="51"/>
      <c r="CJ901" s="51"/>
      <c r="CK901" s="51"/>
      <c r="CL901" s="51"/>
      <c r="CM901" s="51"/>
      <c r="CN901" s="51"/>
      <c r="CO901" s="51"/>
      <c r="CP901" s="51"/>
      <c r="CQ901" s="51"/>
      <c r="CR901" s="51"/>
      <c r="CS901" s="51"/>
      <c r="CT901" s="51"/>
      <c r="CU901" s="1"/>
      <c r="CV901" s="1"/>
      <c r="CW901" s="1"/>
      <c r="CX901" s="1"/>
      <c r="CY901" s="1"/>
      <c r="CZ901" s="1"/>
    </row>
    <row r="902" spans="1:104" ht="14.25" customHeight="1">
      <c r="A902" s="1"/>
      <c r="B902" s="2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1"/>
      <c r="CA902" s="51"/>
      <c r="CB902" s="51"/>
      <c r="CC902" s="51"/>
      <c r="CD902" s="51"/>
      <c r="CE902" s="51"/>
      <c r="CF902" s="51"/>
      <c r="CG902" s="51"/>
      <c r="CH902" s="51"/>
      <c r="CI902" s="51"/>
      <c r="CJ902" s="51"/>
      <c r="CK902" s="51"/>
      <c r="CL902" s="51"/>
      <c r="CM902" s="51"/>
      <c r="CN902" s="51"/>
      <c r="CO902" s="51"/>
      <c r="CP902" s="51"/>
      <c r="CQ902" s="51"/>
      <c r="CR902" s="51"/>
      <c r="CS902" s="51"/>
      <c r="CT902" s="51"/>
      <c r="CU902" s="1"/>
      <c r="CV902" s="1"/>
      <c r="CW902" s="1"/>
      <c r="CX902" s="1"/>
      <c r="CY902" s="1"/>
      <c r="CZ902" s="1"/>
    </row>
    <row r="903" spans="1:104" ht="14.25" customHeight="1">
      <c r="A903" s="1"/>
      <c r="B903" s="2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1"/>
      <c r="CA903" s="51"/>
      <c r="CB903" s="51"/>
      <c r="CC903" s="51"/>
      <c r="CD903" s="51"/>
      <c r="CE903" s="51"/>
      <c r="CF903" s="51"/>
      <c r="CG903" s="51"/>
      <c r="CH903" s="51"/>
      <c r="CI903" s="51"/>
      <c r="CJ903" s="51"/>
      <c r="CK903" s="51"/>
      <c r="CL903" s="51"/>
      <c r="CM903" s="51"/>
      <c r="CN903" s="51"/>
      <c r="CO903" s="51"/>
      <c r="CP903" s="51"/>
      <c r="CQ903" s="51"/>
      <c r="CR903" s="51"/>
      <c r="CS903" s="51"/>
      <c r="CT903" s="51"/>
      <c r="CU903" s="1"/>
      <c r="CV903" s="1"/>
      <c r="CW903" s="1"/>
      <c r="CX903" s="1"/>
      <c r="CY903" s="1"/>
      <c r="CZ903" s="1"/>
    </row>
    <row r="904" spans="1:104" ht="14.25" customHeight="1">
      <c r="A904" s="1"/>
      <c r="B904" s="2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1"/>
      <c r="CA904" s="51"/>
      <c r="CB904" s="51"/>
      <c r="CC904" s="51"/>
      <c r="CD904" s="51"/>
      <c r="CE904" s="51"/>
      <c r="CF904" s="51"/>
      <c r="CG904" s="51"/>
      <c r="CH904" s="51"/>
      <c r="CI904" s="51"/>
      <c r="CJ904" s="51"/>
      <c r="CK904" s="51"/>
      <c r="CL904" s="51"/>
      <c r="CM904" s="51"/>
      <c r="CN904" s="51"/>
      <c r="CO904" s="51"/>
      <c r="CP904" s="51"/>
      <c r="CQ904" s="51"/>
      <c r="CR904" s="51"/>
      <c r="CS904" s="51"/>
      <c r="CT904" s="51"/>
      <c r="CU904" s="1"/>
      <c r="CV904" s="1"/>
      <c r="CW904" s="1"/>
      <c r="CX904" s="1"/>
      <c r="CY904" s="1"/>
      <c r="CZ904" s="1"/>
    </row>
    <row r="905" spans="1:104" ht="14.25" customHeight="1">
      <c r="A905" s="1"/>
      <c r="B905" s="2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1"/>
      <c r="CA905" s="51"/>
      <c r="CB905" s="51"/>
      <c r="CC905" s="51"/>
      <c r="CD905" s="51"/>
      <c r="CE905" s="51"/>
      <c r="CF905" s="51"/>
      <c r="CG905" s="51"/>
      <c r="CH905" s="51"/>
      <c r="CI905" s="51"/>
      <c r="CJ905" s="51"/>
      <c r="CK905" s="51"/>
      <c r="CL905" s="51"/>
      <c r="CM905" s="51"/>
      <c r="CN905" s="51"/>
      <c r="CO905" s="51"/>
      <c r="CP905" s="51"/>
      <c r="CQ905" s="51"/>
      <c r="CR905" s="51"/>
      <c r="CS905" s="51"/>
      <c r="CT905" s="51"/>
      <c r="CU905" s="1"/>
      <c r="CV905" s="1"/>
      <c r="CW905" s="1"/>
      <c r="CX905" s="1"/>
      <c r="CY905" s="1"/>
      <c r="CZ905" s="1"/>
    </row>
    <row r="906" spans="1:104" ht="14.25" customHeight="1">
      <c r="A906" s="1"/>
      <c r="B906" s="2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1"/>
      <c r="CA906" s="51"/>
      <c r="CB906" s="51"/>
      <c r="CC906" s="51"/>
      <c r="CD906" s="51"/>
      <c r="CE906" s="51"/>
      <c r="CF906" s="51"/>
      <c r="CG906" s="51"/>
      <c r="CH906" s="51"/>
      <c r="CI906" s="51"/>
      <c r="CJ906" s="51"/>
      <c r="CK906" s="51"/>
      <c r="CL906" s="51"/>
      <c r="CM906" s="51"/>
      <c r="CN906" s="51"/>
      <c r="CO906" s="51"/>
      <c r="CP906" s="51"/>
      <c r="CQ906" s="51"/>
      <c r="CR906" s="51"/>
      <c r="CS906" s="51"/>
      <c r="CT906" s="51"/>
      <c r="CU906" s="1"/>
      <c r="CV906" s="1"/>
      <c r="CW906" s="1"/>
      <c r="CX906" s="1"/>
      <c r="CY906" s="1"/>
      <c r="CZ906" s="1"/>
    </row>
    <row r="907" spans="1:104" ht="14.25" customHeight="1">
      <c r="A907" s="1"/>
      <c r="B907" s="2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1"/>
      <c r="CA907" s="51"/>
      <c r="CB907" s="51"/>
      <c r="CC907" s="51"/>
      <c r="CD907" s="51"/>
      <c r="CE907" s="51"/>
      <c r="CF907" s="51"/>
      <c r="CG907" s="51"/>
      <c r="CH907" s="51"/>
      <c r="CI907" s="51"/>
      <c r="CJ907" s="51"/>
      <c r="CK907" s="51"/>
      <c r="CL907" s="51"/>
      <c r="CM907" s="51"/>
      <c r="CN907" s="51"/>
      <c r="CO907" s="51"/>
      <c r="CP907" s="51"/>
      <c r="CQ907" s="51"/>
      <c r="CR907" s="51"/>
      <c r="CS907" s="51"/>
      <c r="CT907" s="51"/>
      <c r="CU907" s="1"/>
      <c r="CV907" s="1"/>
      <c r="CW907" s="1"/>
      <c r="CX907" s="1"/>
      <c r="CY907" s="1"/>
      <c r="CZ907" s="1"/>
    </row>
    <row r="908" spans="1:104" ht="14.25" customHeight="1">
      <c r="A908" s="1"/>
      <c r="B908" s="2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  <c r="CC908" s="51"/>
      <c r="CD908" s="51"/>
      <c r="CE908" s="51"/>
      <c r="CF908" s="51"/>
      <c r="CG908" s="51"/>
      <c r="CH908" s="51"/>
      <c r="CI908" s="51"/>
      <c r="CJ908" s="51"/>
      <c r="CK908" s="51"/>
      <c r="CL908" s="51"/>
      <c r="CM908" s="51"/>
      <c r="CN908" s="51"/>
      <c r="CO908" s="51"/>
      <c r="CP908" s="51"/>
      <c r="CQ908" s="51"/>
      <c r="CR908" s="51"/>
      <c r="CS908" s="51"/>
      <c r="CT908" s="51"/>
      <c r="CU908" s="1"/>
      <c r="CV908" s="1"/>
      <c r="CW908" s="1"/>
      <c r="CX908" s="1"/>
      <c r="CY908" s="1"/>
      <c r="CZ908" s="1"/>
    </row>
    <row r="909" spans="1:104" ht="14.25" customHeight="1">
      <c r="A909" s="1"/>
      <c r="B909" s="2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1"/>
      <c r="CA909" s="51"/>
      <c r="CB909" s="51"/>
      <c r="CC909" s="51"/>
      <c r="CD909" s="51"/>
      <c r="CE909" s="51"/>
      <c r="CF909" s="51"/>
      <c r="CG909" s="51"/>
      <c r="CH909" s="51"/>
      <c r="CI909" s="51"/>
      <c r="CJ909" s="51"/>
      <c r="CK909" s="51"/>
      <c r="CL909" s="51"/>
      <c r="CM909" s="51"/>
      <c r="CN909" s="51"/>
      <c r="CO909" s="51"/>
      <c r="CP909" s="51"/>
      <c r="CQ909" s="51"/>
      <c r="CR909" s="51"/>
      <c r="CS909" s="51"/>
      <c r="CT909" s="51"/>
      <c r="CU909" s="1"/>
      <c r="CV909" s="1"/>
      <c r="CW909" s="1"/>
      <c r="CX909" s="1"/>
      <c r="CY909" s="1"/>
      <c r="CZ909" s="1"/>
    </row>
    <row r="910" spans="1:104" ht="14.25" customHeight="1">
      <c r="A910" s="1"/>
      <c r="B910" s="2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1"/>
      <c r="CA910" s="51"/>
      <c r="CB910" s="51"/>
      <c r="CC910" s="51"/>
      <c r="CD910" s="51"/>
      <c r="CE910" s="51"/>
      <c r="CF910" s="51"/>
      <c r="CG910" s="51"/>
      <c r="CH910" s="51"/>
      <c r="CI910" s="51"/>
      <c r="CJ910" s="51"/>
      <c r="CK910" s="51"/>
      <c r="CL910" s="51"/>
      <c r="CM910" s="51"/>
      <c r="CN910" s="51"/>
      <c r="CO910" s="51"/>
      <c r="CP910" s="51"/>
      <c r="CQ910" s="51"/>
      <c r="CR910" s="51"/>
      <c r="CS910" s="51"/>
      <c r="CT910" s="51"/>
      <c r="CU910" s="1"/>
      <c r="CV910" s="1"/>
      <c r="CW910" s="1"/>
      <c r="CX910" s="1"/>
      <c r="CY910" s="1"/>
      <c r="CZ910" s="1"/>
    </row>
    <row r="911" spans="1:104" ht="14.25" customHeight="1">
      <c r="A911" s="1"/>
      <c r="B911" s="2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1"/>
      <c r="CA911" s="51"/>
      <c r="CB911" s="51"/>
      <c r="CC911" s="51"/>
      <c r="CD911" s="51"/>
      <c r="CE911" s="51"/>
      <c r="CF911" s="51"/>
      <c r="CG911" s="51"/>
      <c r="CH911" s="51"/>
      <c r="CI911" s="51"/>
      <c r="CJ911" s="51"/>
      <c r="CK911" s="51"/>
      <c r="CL911" s="51"/>
      <c r="CM911" s="51"/>
      <c r="CN911" s="51"/>
      <c r="CO911" s="51"/>
      <c r="CP911" s="51"/>
      <c r="CQ911" s="51"/>
      <c r="CR911" s="51"/>
      <c r="CS911" s="51"/>
      <c r="CT911" s="51"/>
      <c r="CU911" s="1"/>
      <c r="CV911" s="1"/>
      <c r="CW911" s="1"/>
      <c r="CX911" s="1"/>
      <c r="CY911" s="1"/>
      <c r="CZ911" s="1"/>
    </row>
    <row r="912" spans="1:104" ht="14.25" customHeight="1">
      <c r="A912" s="1"/>
      <c r="B912" s="2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1"/>
      <c r="CA912" s="51"/>
      <c r="CB912" s="51"/>
      <c r="CC912" s="51"/>
      <c r="CD912" s="51"/>
      <c r="CE912" s="51"/>
      <c r="CF912" s="51"/>
      <c r="CG912" s="51"/>
      <c r="CH912" s="51"/>
      <c r="CI912" s="51"/>
      <c r="CJ912" s="51"/>
      <c r="CK912" s="51"/>
      <c r="CL912" s="51"/>
      <c r="CM912" s="51"/>
      <c r="CN912" s="51"/>
      <c r="CO912" s="51"/>
      <c r="CP912" s="51"/>
      <c r="CQ912" s="51"/>
      <c r="CR912" s="51"/>
      <c r="CS912" s="51"/>
      <c r="CT912" s="51"/>
      <c r="CU912" s="1"/>
      <c r="CV912" s="1"/>
      <c r="CW912" s="1"/>
      <c r="CX912" s="1"/>
      <c r="CY912" s="1"/>
      <c r="CZ912" s="1"/>
    </row>
    <row r="913" spans="1:104" ht="14.25" customHeight="1">
      <c r="A913" s="1"/>
      <c r="B913" s="2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1"/>
      <c r="CA913" s="51"/>
      <c r="CB913" s="51"/>
      <c r="CC913" s="51"/>
      <c r="CD913" s="51"/>
      <c r="CE913" s="51"/>
      <c r="CF913" s="51"/>
      <c r="CG913" s="51"/>
      <c r="CH913" s="51"/>
      <c r="CI913" s="51"/>
      <c r="CJ913" s="51"/>
      <c r="CK913" s="51"/>
      <c r="CL913" s="51"/>
      <c r="CM913" s="51"/>
      <c r="CN913" s="51"/>
      <c r="CO913" s="51"/>
      <c r="CP913" s="51"/>
      <c r="CQ913" s="51"/>
      <c r="CR913" s="51"/>
      <c r="CS913" s="51"/>
      <c r="CT913" s="51"/>
      <c r="CU913" s="1"/>
      <c r="CV913" s="1"/>
      <c r="CW913" s="1"/>
      <c r="CX913" s="1"/>
      <c r="CY913" s="1"/>
      <c r="CZ913" s="1"/>
    </row>
    <row r="914" spans="1:104" ht="14.25" customHeight="1">
      <c r="A914" s="1"/>
      <c r="B914" s="2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  <c r="CC914" s="51"/>
      <c r="CD914" s="51"/>
      <c r="CE914" s="51"/>
      <c r="CF914" s="51"/>
      <c r="CG914" s="51"/>
      <c r="CH914" s="51"/>
      <c r="CI914" s="51"/>
      <c r="CJ914" s="51"/>
      <c r="CK914" s="51"/>
      <c r="CL914" s="51"/>
      <c r="CM914" s="51"/>
      <c r="CN914" s="51"/>
      <c r="CO914" s="51"/>
      <c r="CP914" s="51"/>
      <c r="CQ914" s="51"/>
      <c r="CR914" s="51"/>
      <c r="CS914" s="51"/>
      <c r="CT914" s="51"/>
      <c r="CU914" s="1"/>
      <c r="CV914" s="1"/>
      <c r="CW914" s="1"/>
      <c r="CX914" s="1"/>
      <c r="CY914" s="1"/>
      <c r="CZ914" s="1"/>
    </row>
    <row r="915" spans="1:104" ht="14.25" customHeight="1">
      <c r="A915" s="1"/>
      <c r="B915" s="2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1"/>
      <c r="CA915" s="51"/>
      <c r="CB915" s="51"/>
      <c r="CC915" s="51"/>
      <c r="CD915" s="51"/>
      <c r="CE915" s="51"/>
      <c r="CF915" s="51"/>
      <c r="CG915" s="51"/>
      <c r="CH915" s="51"/>
      <c r="CI915" s="51"/>
      <c r="CJ915" s="51"/>
      <c r="CK915" s="51"/>
      <c r="CL915" s="51"/>
      <c r="CM915" s="51"/>
      <c r="CN915" s="51"/>
      <c r="CO915" s="51"/>
      <c r="CP915" s="51"/>
      <c r="CQ915" s="51"/>
      <c r="CR915" s="51"/>
      <c r="CS915" s="51"/>
      <c r="CT915" s="51"/>
      <c r="CU915" s="1"/>
      <c r="CV915" s="1"/>
      <c r="CW915" s="1"/>
      <c r="CX915" s="1"/>
      <c r="CY915" s="1"/>
      <c r="CZ915" s="1"/>
    </row>
    <row r="916" spans="1:104" ht="14.25" customHeight="1">
      <c r="A916" s="1"/>
      <c r="B916" s="2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1"/>
      <c r="CA916" s="51"/>
      <c r="CB916" s="51"/>
      <c r="CC916" s="51"/>
      <c r="CD916" s="51"/>
      <c r="CE916" s="51"/>
      <c r="CF916" s="51"/>
      <c r="CG916" s="51"/>
      <c r="CH916" s="51"/>
      <c r="CI916" s="51"/>
      <c r="CJ916" s="51"/>
      <c r="CK916" s="51"/>
      <c r="CL916" s="51"/>
      <c r="CM916" s="51"/>
      <c r="CN916" s="51"/>
      <c r="CO916" s="51"/>
      <c r="CP916" s="51"/>
      <c r="CQ916" s="51"/>
      <c r="CR916" s="51"/>
      <c r="CS916" s="51"/>
      <c r="CT916" s="51"/>
      <c r="CU916" s="1"/>
      <c r="CV916" s="1"/>
      <c r="CW916" s="1"/>
      <c r="CX916" s="1"/>
      <c r="CY916" s="1"/>
      <c r="CZ916" s="1"/>
    </row>
    <row r="917" spans="1:104" ht="14.25" customHeight="1">
      <c r="A917" s="1"/>
      <c r="B917" s="2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  <c r="CC917" s="51"/>
      <c r="CD917" s="51"/>
      <c r="CE917" s="51"/>
      <c r="CF917" s="51"/>
      <c r="CG917" s="51"/>
      <c r="CH917" s="51"/>
      <c r="CI917" s="51"/>
      <c r="CJ917" s="51"/>
      <c r="CK917" s="51"/>
      <c r="CL917" s="51"/>
      <c r="CM917" s="51"/>
      <c r="CN917" s="51"/>
      <c r="CO917" s="51"/>
      <c r="CP917" s="51"/>
      <c r="CQ917" s="51"/>
      <c r="CR917" s="51"/>
      <c r="CS917" s="51"/>
      <c r="CT917" s="51"/>
      <c r="CU917" s="1"/>
      <c r="CV917" s="1"/>
      <c r="CW917" s="1"/>
      <c r="CX917" s="1"/>
      <c r="CY917" s="1"/>
      <c r="CZ917" s="1"/>
    </row>
    <row r="918" spans="1:104" ht="14.25" customHeight="1">
      <c r="A918" s="1"/>
      <c r="B918" s="2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1"/>
      <c r="CA918" s="51"/>
      <c r="CB918" s="51"/>
      <c r="CC918" s="51"/>
      <c r="CD918" s="51"/>
      <c r="CE918" s="51"/>
      <c r="CF918" s="51"/>
      <c r="CG918" s="51"/>
      <c r="CH918" s="51"/>
      <c r="CI918" s="51"/>
      <c r="CJ918" s="51"/>
      <c r="CK918" s="51"/>
      <c r="CL918" s="51"/>
      <c r="CM918" s="51"/>
      <c r="CN918" s="51"/>
      <c r="CO918" s="51"/>
      <c r="CP918" s="51"/>
      <c r="CQ918" s="51"/>
      <c r="CR918" s="51"/>
      <c r="CS918" s="51"/>
      <c r="CT918" s="51"/>
      <c r="CU918" s="1"/>
      <c r="CV918" s="1"/>
      <c r="CW918" s="1"/>
      <c r="CX918" s="1"/>
      <c r="CY918" s="1"/>
      <c r="CZ918" s="1"/>
    </row>
    <row r="919" spans="1:104" ht="14.25" customHeight="1">
      <c r="A919" s="1"/>
      <c r="B919" s="2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  <c r="CC919" s="51"/>
      <c r="CD919" s="51"/>
      <c r="CE919" s="51"/>
      <c r="CF919" s="51"/>
      <c r="CG919" s="51"/>
      <c r="CH919" s="51"/>
      <c r="CI919" s="51"/>
      <c r="CJ919" s="51"/>
      <c r="CK919" s="51"/>
      <c r="CL919" s="51"/>
      <c r="CM919" s="51"/>
      <c r="CN919" s="51"/>
      <c r="CO919" s="51"/>
      <c r="CP919" s="51"/>
      <c r="CQ919" s="51"/>
      <c r="CR919" s="51"/>
      <c r="CS919" s="51"/>
      <c r="CT919" s="51"/>
      <c r="CU919" s="1"/>
      <c r="CV919" s="1"/>
      <c r="CW919" s="1"/>
      <c r="CX919" s="1"/>
      <c r="CY919" s="1"/>
      <c r="CZ919" s="1"/>
    </row>
    <row r="920" spans="1:104" ht="14.25" customHeight="1">
      <c r="A920" s="1"/>
      <c r="B920" s="2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  <c r="CC920" s="51"/>
      <c r="CD920" s="51"/>
      <c r="CE920" s="51"/>
      <c r="CF920" s="51"/>
      <c r="CG920" s="51"/>
      <c r="CH920" s="51"/>
      <c r="CI920" s="51"/>
      <c r="CJ920" s="51"/>
      <c r="CK920" s="51"/>
      <c r="CL920" s="51"/>
      <c r="CM920" s="51"/>
      <c r="CN920" s="51"/>
      <c r="CO920" s="51"/>
      <c r="CP920" s="51"/>
      <c r="CQ920" s="51"/>
      <c r="CR920" s="51"/>
      <c r="CS920" s="51"/>
      <c r="CT920" s="51"/>
      <c r="CU920" s="1"/>
      <c r="CV920" s="1"/>
      <c r="CW920" s="1"/>
      <c r="CX920" s="1"/>
      <c r="CY920" s="1"/>
      <c r="CZ920" s="1"/>
    </row>
    <row r="921" spans="1:104" ht="14.25" customHeight="1">
      <c r="A921" s="1"/>
      <c r="B921" s="2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1"/>
      <c r="CA921" s="51"/>
      <c r="CB921" s="51"/>
      <c r="CC921" s="51"/>
      <c r="CD921" s="51"/>
      <c r="CE921" s="51"/>
      <c r="CF921" s="51"/>
      <c r="CG921" s="51"/>
      <c r="CH921" s="51"/>
      <c r="CI921" s="51"/>
      <c r="CJ921" s="51"/>
      <c r="CK921" s="51"/>
      <c r="CL921" s="51"/>
      <c r="CM921" s="51"/>
      <c r="CN921" s="51"/>
      <c r="CO921" s="51"/>
      <c r="CP921" s="51"/>
      <c r="CQ921" s="51"/>
      <c r="CR921" s="51"/>
      <c r="CS921" s="51"/>
      <c r="CT921" s="51"/>
      <c r="CU921" s="1"/>
      <c r="CV921" s="1"/>
      <c r="CW921" s="1"/>
      <c r="CX921" s="1"/>
      <c r="CY921" s="1"/>
      <c r="CZ921" s="1"/>
    </row>
    <row r="922" spans="1:104" ht="14.25" customHeight="1">
      <c r="A922" s="1"/>
      <c r="B922" s="2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1"/>
      <c r="CA922" s="51"/>
      <c r="CB922" s="51"/>
      <c r="CC922" s="51"/>
      <c r="CD922" s="51"/>
      <c r="CE922" s="51"/>
      <c r="CF922" s="51"/>
      <c r="CG922" s="51"/>
      <c r="CH922" s="51"/>
      <c r="CI922" s="51"/>
      <c r="CJ922" s="51"/>
      <c r="CK922" s="51"/>
      <c r="CL922" s="51"/>
      <c r="CM922" s="51"/>
      <c r="CN922" s="51"/>
      <c r="CO922" s="51"/>
      <c r="CP922" s="51"/>
      <c r="CQ922" s="51"/>
      <c r="CR922" s="51"/>
      <c r="CS922" s="51"/>
      <c r="CT922" s="51"/>
      <c r="CU922" s="1"/>
      <c r="CV922" s="1"/>
      <c r="CW922" s="1"/>
      <c r="CX922" s="1"/>
      <c r="CY922" s="1"/>
      <c r="CZ922" s="1"/>
    </row>
    <row r="923" spans="1:104" ht="14.25" customHeight="1">
      <c r="A923" s="1"/>
      <c r="B923" s="2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  <c r="CC923" s="51"/>
      <c r="CD923" s="51"/>
      <c r="CE923" s="51"/>
      <c r="CF923" s="51"/>
      <c r="CG923" s="51"/>
      <c r="CH923" s="51"/>
      <c r="CI923" s="51"/>
      <c r="CJ923" s="51"/>
      <c r="CK923" s="51"/>
      <c r="CL923" s="51"/>
      <c r="CM923" s="51"/>
      <c r="CN923" s="51"/>
      <c r="CO923" s="51"/>
      <c r="CP923" s="51"/>
      <c r="CQ923" s="51"/>
      <c r="CR923" s="51"/>
      <c r="CS923" s="51"/>
      <c r="CT923" s="51"/>
      <c r="CU923" s="1"/>
      <c r="CV923" s="1"/>
      <c r="CW923" s="1"/>
      <c r="CX923" s="1"/>
      <c r="CY923" s="1"/>
      <c r="CZ923" s="1"/>
    </row>
    <row r="924" spans="1:104" ht="14.25" customHeight="1">
      <c r="A924" s="1"/>
      <c r="B924" s="2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1"/>
      <c r="CA924" s="51"/>
      <c r="CB924" s="51"/>
      <c r="CC924" s="51"/>
      <c r="CD924" s="51"/>
      <c r="CE924" s="51"/>
      <c r="CF924" s="51"/>
      <c r="CG924" s="51"/>
      <c r="CH924" s="51"/>
      <c r="CI924" s="51"/>
      <c r="CJ924" s="51"/>
      <c r="CK924" s="51"/>
      <c r="CL924" s="51"/>
      <c r="CM924" s="51"/>
      <c r="CN924" s="51"/>
      <c r="CO924" s="51"/>
      <c r="CP924" s="51"/>
      <c r="CQ924" s="51"/>
      <c r="CR924" s="51"/>
      <c r="CS924" s="51"/>
      <c r="CT924" s="51"/>
      <c r="CU924" s="1"/>
      <c r="CV924" s="1"/>
      <c r="CW924" s="1"/>
      <c r="CX924" s="1"/>
      <c r="CY924" s="1"/>
      <c r="CZ924" s="1"/>
    </row>
    <row r="925" spans="1:104" ht="14.25" customHeight="1">
      <c r="A925" s="1"/>
      <c r="B925" s="2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  <c r="CC925" s="51"/>
      <c r="CD925" s="51"/>
      <c r="CE925" s="51"/>
      <c r="CF925" s="51"/>
      <c r="CG925" s="51"/>
      <c r="CH925" s="51"/>
      <c r="CI925" s="51"/>
      <c r="CJ925" s="51"/>
      <c r="CK925" s="51"/>
      <c r="CL925" s="51"/>
      <c r="CM925" s="51"/>
      <c r="CN925" s="51"/>
      <c r="CO925" s="51"/>
      <c r="CP925" s="51"/>
      <c r="CQ925" s="51"/>
      <c r="CR925" s="51"/>
      <c r="CS925" s="51"/>
      <c r="CT925" s="51"/>
      <c r="CU925" s="1"/>
      <c r="CV925" s="1"/>
      <c r="CW925" s="1"/>
      <c r="CX925" s="1"/>
      <c r="CY925" s="1"/>
      <c r="CZ925" s="1"/>
    </row>
    <row r="926" spans="1:104" ht="14.25" customHeight="1">
      <c r="A926" s="1"/>
      <c r="B926" s="2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  <c r="CC926" s="51"/>
      <c r="CD926" s="51"/>
      <c r="CE926" s="51"/>
      <c r="CF926" s="51"/>
      <c r="CG926" s="51"/>
      <c r="CH926" s="51"/>
      <c r="CI926" s="51"/>
      <c r="CJ926" s="51"/>
      <c r="CK926" s="51"/>
      <c r="CL926" s="51"/>
      <c r="CM926" s="51"/>
      <c r="CN926" s="51"/>
      <c r="CO926" s="51"/>
      <c r="CP926" s="51"/>
      <c r="CQ926" s="51"/>
      <c r="CR926" s="51"/>
      <c r="CS926" s="51"/>
      <c r="CT926" s="51"/>
      <c r="CU926" s="1"/>
      <c r="CV926" s="1"/>
      <c r="CW926" s="1"/>
      <c r="CX926" s="1"/>
      <c r="CY926" s="1"/>
      <c r="CZ926" s="1"/>
    </row>
    <row r="927" spans="1:104" ht="14.25" customHeight="1">
      <c r="A927" s="1"/>
      <c r="B927" s="2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1"/>
      <c r="CA927" s="51"/>
      <c r="CB927" s="51"/>
      <c r="CC927" s="51"/>
      <c r="CD927" s="51"/>
      <c r="CE927" s="51"/>
      <c r="CF927" s="51"/>
      <c r="CG927" s="51"/>
      <c r="CH927" s="51"/>
      <c r="CI927" s="51"/>
      <c r="CJ927" s="51"/>
      <c r="CK927" s="51"/>
      <c r="CL927" s="51"/>
      <c r="CM927" s="51"/>
      <c r="CN927" s="51"/>
      <c r="CO927" s="51"/>
      <c r="CP927" s="51"/>
      <c r="CQ927" s="51"/>
      <c r="CR927" s="51"/>
      <c r="CS927" s="51"/>
      <c r="CT927" s="51"/>
      <c r="CU927" s="1"/>
      <c r="CV927" s="1"/>
      <c r="CW927" s="1"/>
      <c r="CX927" s="1"/>
      <c r="CY927" s="1"/>
      <c r="CZ927" s="1"/>
    </row>
    <row r="928" spans="1:104" ht="14.25" customHeight="1">
      <c r="A928" s="1"/>
      <c r="B928" s="2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1"/>
      <c r="CA928" s="51"/>
      <c r="CB928" s="51"/>
      <c r="CC928" s="51"/>
      <c r="CD928" s="51"/>
      <c r="CE928" s="51"/>
      <c r="CF928" s="51"/>
      <c r="CG928" s="51"/>
      <c r="CH928" s="51"/>
      <c r="CI928" s="51"/>
      <c r="CJ928" s="51"/>
      <c r="CK928" s="51"/>
      <c r="CL928" s="51"/>
      <c r="CM928" s="51"/>
      <c r="CN928" s="51"/>
      <c r="CO928" s="51"/>
      <c r="CP928" s="51"/>
      <c r="CQ928" s="51"/>
      <c r="CR928" s="51"/>
      <c r="CS928" s="51"/>
      <c r="CT928" s="51"/>
      <c r="CU928" s="1"/>
      <c r="CV928" s="1"/>
      <c r="CW928" s="1"/>
      <c r="CX928" s="1"/>
      <c r="CY928" s="1"/>
      <c r="CZ928" s="1"/>
    </row>
    <row r="929" spans="1:104" ht="14.25" customHeight="1">
      <c r="A929" s="1"/>
      <c r="B929" s="2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1"/>
      <c r="CA929" s="51"/>
      <c r="CB929" s="51"/>
      <c r="CC929" s="51"/>
      <c r="CD929" s="51"/>
      <c r="CE929" s="51"/>
      <c r="CF929" s="51"/>
      <c r="CG929" s="51"/>
      <c r="CH929" s="51"/>
      <c r="CI929" s="51"/>
      <c r="CJ929" s="51"/>
      <c r="CK929" s="51"/>
      <c r="CL929" s="51"/>
      <c r="CM929" s="51"/>
      <c r="CN929" s="51"/>
      <c r="CO929" s="51"/>
      <c r="CP929" s="51"/>
      <c r="CQ929" s="51"/>
      <c r="CR929" s="51"/>
      <c r="CS929" s="51"/>
      <c r="CT929" s="51"/>
      <c r="CU929" s="1"/>
      <c r="CV929" s="1"/>
      <c r="CW929" s="1"/>
      <c r="CX929" s="1"/>
      <c r="CY929" s="1"/>
      <c r="CZ929" s="1"/>
    </row>
    <row r="930" spans="1:104" ht="14.25" customHeight="1">
      <c r="A930" s="1"/>
      <c r="B930" s="2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  <c r="CC930" s="51"/>
      <c r="CD930" s="51"/>
      <c r="CE930" s="51"/>
      <c r="CF930" s="51"/>
      <c r="CG930" s="51"/>
      <c r="CH930" s="51"/>
      <c r="CI930" s="51"/>
      <c r="CJ930" s="51"/>
      <c r="CK930" s="51"/>
      <c r="CL930" s="51"/>
      <c r="CM930" s="51"/>
      <c r="CN930" s="51"/>
      <c r="CO930" s="51"/>
      <c r="CP930" s="51"/>
      <c r="CQ930" s="51"/>
      <c r="CR930" s="51"/>
      <c r="CS930" s="51"/>
      <c r="CT930" s="51"/>
      <c r="CU930" s="1"/>
      <c r="CV930" s="1"/>
      <c r="CW930" s="1"/>
      <c r="CX930" s="1"/>
      <c r="CY930" s="1"/>
      <c r="CZ930" s="1"/>
    </row>
    <row r="931" spans="1:104" ht="14.25" customHeight="1">
      <c r="A931" s="1"/>
      <c r="B931" s="2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1"/>
      <c r="CA931" s="51"/>
      <c r="CB931" s="51"/>
      <c r="CC931" s="51"/>
      <c r="CD931" s="51"/>
      <c r="CE931" s="51"/>
      <c r="CF931" s="51"/>
      <c r="CG931" s="51"/>
      <c r="CH931" s="51"/>
      <c r="CI931" s="51"/>
      <c r="CJ931" s="51"/>
      <c r="CK931" s="51"/>
      <c r="CL931" s="51"/>
      <c r="CM931" s="51"/>
      <c r="CN931" s="51"/>
      <c r="CO931" s="51"/>
      <c r="CP931" s="51"/>
      <c r="CQ931" s="51"/>
      <c r="CR931" s="51"/>
      <c r="CS931" s="51"/>
      <c r="CT931" s="51"/>
      <c r="CU931" s="1"/>
      <c r="CV931" s="1"/>
      <c r="CW931" s="1"/>
      <c r="CX931" s="1"/>
      <c r="CY931" s="1"/>
      <c r="CZ931" s="1"/>
    </row>
    <row r="932" spans="1:104" ht="14.25" customHeight="1">
      <c r="A932" s="1"/>
      <c r="B932" s="2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  <c r="CC932" s="51"/>
      <c r="CD932" s="51"/>
      <c r="CE932" s="51"/>
      <c r="CF932" s="51"/>
      <c r="CG932" s="51"/>
      <c r="CH932" s="51"/>
      <c r="CI932" s="51"/>
      <c r="CJ932" s="51"/>
      <c r="CK932" s="51"/>
      <c r="CL932" s="51"/>
      <c r="CM932" s="51"/>
      <c r="CN932" s="51"/>
      <c r="CO932" s="51"/>
      <c r="CP932" s="51"/>
      <c r="CQ932" s="51"/>
      <c r="CR932" s="51"/>
      <c r="CS932" s="51"/>
      <c r="CT932" s="51"/>
      <c r="CU932" s="1"/>
      <c r="CV932" s="1"/>
      <c r="CW932" s="1"/>
      <c r="CX932" s="1"/>
      <c r="CY932" s="1"/>
      <c r="CZ932" s="1"/>
    </row>
    <row r="933" spans="1:104" ht="14.25" customHeight="1">
      <c r="A933" s="1"/>
      <c r="B933" s="2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1"/>
      <c r="CA933" s="51"/>
      <c r="CB933" s="51"/>
      <c r="CC933" s="51"/>
      <c r="CD933" s="51"/>
      <c r="CE933" s="51"/>
      <c r="CF933" s="51"/>
      <c r="CG933" s="51"/>
      <c r="CH933" s="51"/>
      <c r="CI933" s="51"/>
      <c r="CJ933" s="51"/>
      <c r="CK933" s="51"/>
      <c r="CL933" s="51"/>
      <c r="CM933" s="51"/>
      <c r="CN933" s="51"/>
      <c r="CO933" s="51"/>
      <c r="CP933" s="51"/>
      <c r="CQ933" s="51"/>
      <c r="CR933" s="51"/>
      <c r="CS933" s="51"/>
      <c r="CT933" s="51"/>
      <c r="CU933" s="1"/>
      <c r="CV933" s="1"/>
      <c r="CW933" s="1"/>
      <c r="CX933" s="1"/>
      <c r="CY933" s="1"/>
      <c r="CZ933" s="1"/>
    </row>
    <row r="934" spans="1:104" ht="14.25" customHeight="1">
      <c r="A934" s="1"/>
      <c r="B934" s="2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1"/>
      <c r="CA934" s="51"/>
      <c r="CB934" s="51"/>
      <c r="CC934" s="51"/>
      <c r="CD934" s="51"/>
      <c r="CE934" s="51"/>
      <c r="CF934" s="51"/>
      <c r="CG934" s="51"/>
      <c r="CH934" s="51"/>
      <c r="CI934" s="51"/>
      <c r="CJ934" s="51"/>
      <c r="CK934" s="51"/>
      <c r="CL934" s="51"/>
      <c r="CM934" s="51"/>
      <c r="CN934" s="51"/>
      <c r="CO934" s="51"/>
      <c r="CP934" s="51"/>
      <c r="CQ934" s="51"/>
      <c r="CR934" s="51"/>
      <c r="CS934" s="51"/>
      <c r="CT934" s="51"/>
      <c r="CU934" s="1"/>
      <c r="CV934" s="1"/>
      <c r="CW934" s="1"/>
      <c r="CX934" s="1"/>
      <c r="CY934" s="1"/>
      <c r="CZ934" s="1"/>
    </row>
    <row r="935" spans="1:104" ht="14.25" customHeight="1">
      <c r="A935" s="1"/>
      <c r="B935" s="2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1"/>
      <c r="CA935" s="51"/>
      <c r="CB935" s="51"/>
      <c r="CC935" s="51"/>
      <c r="CD935" s="51"/>
      <c r="CE935" s="51"/>
      <c r="CF935" s="51"/>
      <c r="CG935" s="51"/>
      <c r="CH935" s="51"/>
      <c r="CI935" s="51"/>
      <c r="CJ935" s="51"/>
      <c r="CK935" s="51"/>
      <c r="CL935" s="51"/>
      <c r="CM935" s="51"/>
      <c r="CN935" s="51"/>
      <c r="CO935" s="51"/>
      <c r="CP935" s="51"/>
      <c r="CQ935" s="51"/>
      <c r="CR935" s="51"/>
      <c r="CS935" s="51"/>
      <c r="CT935" s="51"/>
      <c r="CU935" s="1"/>
      <c r="CV935" s="1"/>
      <c r="CW935" s="1"/>
      <c r="CX935" s="1"/>
      <c r="CY935" s="1"/>
      <c r="CZ935" s="1"/>
    </row>
    <row r="936" spans="1:104" ht="14.25" customHeight="1">
      <c r="A936" s="1"/>
      <c r="B936" s="2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  <c r="CC936" s="51"/>
      <c r="CD936" s="51"/>
      <c r="CE936" s="51"/>
      <c r="CF936" s="51"/>
      <c r="CG936" s="51"/>
      <c r="CH936" s="51"/>
      <c r="CI936" s="51"/>
      <c r="CJ936" s="51"/>
      <c r="CK936" s="51"/>
      <c r="CL936" s="51"/>
      <c r="CM936" s="51"/>
      <c r="CN936" s="51"/>
      <c r="CO936" s="51"/>
      <c r="CP936" s="51"/>
      <c r="CQ936" s="51"/>
      <c r="CR936" s="51"/>
      <c r="CS936" s="51"/>
      <c r="CT936" s="51"/>
      <c r="CU936" s="1"/>
      <c r="CV936" s="1"/>
      <c r="CW936" s="1"/>
      <c r="CX936" s="1"/>
      <c r="CY936" s="1"/>
      <c r="CZ936" s="1"/>
    </row>
    <row r="937" spans="1:104" ht="14.25" customHeight="1">
      <c r="A937" s="1"/>
      <c r="B937" s="2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1"/>
      <c r="CA937" s="51"/>
      <c r="CB937" s="51"/>
      <c r="CC937" s="51"/>
      <c r="CD937" s="51"/>
      <c r="CE937" s="51"/>
      <c r="CF937" s="51"/>
      <c r="CG937" s="51"/>
      <c r="CH937" s="51"/>
      <c r="CI937" s="51"/>
      <c r="CJ937" s="51"/>
      <c r="CK937" s="51"/>
      <c r="CL937" s="51"/>
      <c r="CM937" s="51"/>
      <c r="CN937" s="51"/>
      <c r="CO937" s="51"/>
      <c r="CP937" s="51"/>
      <c r="CQ937" s="51"/>
      <c r="CR937" s="51"/>
      <c r="CS937" s="51"/>
      <c r="CT937" s="51"/>
      <c r="CU937" s="1"/>
      <c r="CV937" s="1"/>
      <c r="CW937" s="1"/>
      <c r="CX937" s="1"/>
      <c r="CY937" s="1"/>
      <c r="CZ937" s="1"/>
    </row>
    <row r="938" spans="1:104" ht="14.25" customHeight="1">
      <c r="A938" s="1"/>
      <c r="B938" s="2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  <c r="CC938" s="51"/>
      <c r="CD938" s="51"/>
      <c r="CE938" s="51"/>
      <c r="CF938" s="51"/>
      <c r="CG938" s="51"/>
      <c r="CH938" s="51"/>
      <c r="CI938" s="51"/>
      <c r="CJ938" s="51"/>
      <c r="CK938" s="51"/>
      <c r="CL938" s="51"/>
      <c r="CM938" s="51"/>
      <c r="CN938" s="51"/>
      <c r="CO938" s="51"/>
      <c r="CP938" s="51"/>
      <c r="CQ938" s="51"/>
      <c r="CR938" s="51"/>
      <c r="CS938" s="51"/>
      <c r="CT938" s="51"/>
      <c r="CU938" s="1"/>
      <c r="CV938" s="1"/>
      <c r="CW938" s="1"/>
      <c r="CX938" s="1"/>
      <c r="CY938" s="1"/>
      <c r="CZ938" s="1"/>
    </row>
    <row r="939" spans="1:104" ht="14.25" customHeight="1">
      <c r="A939" s="1"/>
      <c r="B939" s="2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1"/>
      <c r="CA939" s="51"/>
      <c r="CB939" s="51"/>
      <c r="CC939" s="51"/>
      <c r="CD939" s="51"/>
      <c r="CE939" s="51"/>
      <c r="CF939" s="51"/>
      <c r="CG939" s="51"/>
      <c r="CH939" s="51"/>
      <c r="CI939" s="51"/>
      <c r="CJ939" s="51"/>
      <c r="CK939" s="51"/>
      <c r="CL939" s="51"/>
      <c r="CM939" s="51"/>
      <c r="CN939" s="51"/>
      <c r="CO939" s="51"/>
      <c r="CP939" s="51"/>
      <c r="CQ939" s="51"/>
      <c r="CR939" s="51"/>
      <c r="CS939" s="51"/>
      <c r="CT939" s="51"/>
      <c r="CU939" s="1"/>
      <c r="CV939" s="1"/>
      <c r="CW939" s="1"/>
      <c r="CX939" s="1"/>
      <c r="CY939" s="1"/>
      <c r="CZ939" s="1"/>
    </row>
    <row r="940" spans="1:104" ht="14.25" customHeight="1">
      <c r="A940" s="1"/>
      <c r="B940" s="2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1"/>
      <c r="CA940" s="51"/>
      <c r="CB940" s="51"/>
      <c r="CC940" s="51"/>
      <c r="CD940" s="51"/>
      <c r="CE940" s="51"/>
      <c r="CF940" s="51"/>
      <c r="CG940" s="51"/>
      <c r="CH940" s="51"/>
      <c r="CI940" s="51"/>
      <c r="CJ940" s="51"/>
      <c r="CK940" s="51"/>
      <c r="CL940" s="51"/>
      <c r="CM940" s="51"/>
      <c r="CN940" s="51"/>
      <c r="CO940" s="51"/>
      <c r="CP940" s="51"/>
      <c r="CQ940" s="51"/>
      <c r="CR940" s="51"/>
      <c r="CS940" s="51"/>
      <c r="CT940" s="51"/>
      <c r="CU940" s="1"/>
      <c r="CV940" s="1"/>
      <c r="CW940" s="1"/>
      <c r="CX940" s="1"/>
      <c r="CY940" s="1"/>
      <c r="CZ940" s="1"/>
    </row>
    <row r="941" spans="1:104" ht="14.25" customHeight="1">
      <c r="A941" s="1"/>
      <c r="B941" s="2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  <c r="CC941" s="51"/>
      <c r="CD941" s="51"/>
      <c r="CE941" s="51"/>
      <c r="CF941" s="51"/>
      <c r="CG941" s="51"/>
      <c r="CH941" s="51"/>
      <c r="CI941" s="51"/>
      <c r="CJ941" s="51"/>
      <c r="CK941" s="51"/>
      <c r="CL941" s="51"/>
      <c r="CM941" s="51"/>
      <c r="CN941" s="51"/>
      <c r="CO941" s="51"/>
      <c r="CP941" s="51"/>
      <c r="CQ941" s="51"/>
      <c r="CR941" s="51"/>
      <c r="CS941" s="51"/>
      <c r="CT941" s="51"/>
      <c r="CU941" s="1"/>
      <c r="CV941" s="1"/>
      <c r="CW941" s="1"/>
      <c r="CX941" s="1"/>
      <c r="CY941" s="1"/>
      <c r="CZ941" s="1"/>
    </row>
    <row r="942" spans="1:104" ht="14.25" customHeight="1">
      <c r="A942" s="1"/>
      <c r="B942" s="2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1"/>
      <c r="CA942" s="51"/>
      <c r="CB942" s="51"/>
      <c r="CC942" s="51"/>
      <c r="CD942" s="51"/>
      <c r="CE942" s="51"/>
      <c r="CF942" s="51"/>
      <c r="CG942" s="51"/>
      <c r="CH942" s="51"/>
      <c r="CI942" s="51"/>
      <c r="CJ942" s="51"/>
      <c r="CK942" s="51"/>
      <c r="CL942" s="51"/>
      <c r="CM942" s="51"/>
      <c r="CN942" s="51"/>
      <c r="CO942" s="51"/>
      <c r="CP942" s="51"/>
      <c r="CQ942" s="51"/>
      <c r="CR942" s="51"/>
      <c r="CS942" s="51"/>
      <c r="CT942" s="51"/>
      <c r="CU942" s="1"/>
      <c r="CV942" s="1"/>
      <c r="CW942" s="1"/>
      <c r="CX942" s="1"/>
      <c r="CY942" s="1"/>
      <c r="CZ942" s="1"/>
    </row>
    <row r="943" spans="1:104" ht="14.25" customHeight="1">
      <c r="A943" s="1"/>
      <c r="B943" s="2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1"/>
      <c r="CA943" s="51"/>
      <c r="CB943" s="51"/>
      <c r="CC943" s="51"/>
      <c r="CD943" s="51"/>
      <c r="CE943" s="51"/>
      <c r="CF943" s="51"/>
      <c r="CG943" s="51"/>
      <c r="CH943" s="51"/>
      <c r="CI943" s="51"/>
      <c r="CJ943" s="51"/>
      <c r="CK943" s="51"/>
      <c r="CL943" s="51"/>
      <c r="CM943" s="51"/>
      <c r="CN943" s="51"/>
      <c r="CO943" s="51"/>
      <c r="CP943" s="51"/>
      <c r="CQ943" s="51"/>
      <c r="CR943" s="51"/>
      <c r="CS943" s="51"/>
      <c r="CT943" s="51"/>
      <c r="CU943" s="1"/>
      <c r="CV943" s="1"/>
      <c r="CW943" s="1"/>
      <c r="CX943" s="1"/>
      <c r="CY943" s="1"/>
      <c r="CZ943" s="1"/>
    </row>
    <row r="944" spans="1:104" ht="14.25" customHeight="1">
      <c r="A944" s="1"/>
      <c r="B944" s="2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1"/>
      <c r="CA944" s="51"/>
      <c r="CB944" s="51"/>
      <c r="CC944" s="51"/>
      <c r="CD944" s="51"/>
      <c r="CE944" s="51"/>
      <c r="CF944" s="51"/>
      <c r="CG944" s="51"/>
      <c r="CH944" s="51"/>
      <c r="CI944" s="51"/>
      <c r="CJ944" s="51"/>
      <c r="CK944" s="51"/>
      <c r="CL944" s="51"/>
      <c r="CM944" s="51"/>
      <c r="CN944" s="51"/>
      <c r="CO944" s="51"/>
      <c r="CP944" s="51"/>
      <c r="CQ944" s="51"/>
      <c r="CR944" s="51"/>
      <c r="CS944" s="51"/>
      <c r="CT944" s="51"/>
      <c r="CU944" s="1"/>
      <c r="CV944" s="1"/>
      <c r="CW944" s="1"/>
      <c r="CX944" s="1"/>
      <c r="CY944" s="1"/>
      <c r="CZ944" s="1"/>
    </row>
    <row r="945" spans="1:104" ht="14.25" customHeight="1">
      <c r="A945" s="1"/>
      <c r="B945" s="2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1"/>
      <c r="CA945" s="51"/>
      <c r="CB945" s="51"/>
      <c r="CC945" s="51"/>
      <c r="CD945" s="51"/>
      <c r="CE945" s="51"/>
      <c r="CF945" s="51"/>
      <c r="CG945" s="51"/>
      <c r="CH945" s="51"/>
      <c r="CI945" s="51"/>
      <c r="CJ945" s="51"/>
      <c r="CK945" s="51"/>
      <c r="CL945" s="51"/>
      <c r="CM945" s="51"/>
      <c r="CN945" s="51"/>
      <c r="CO945" s="51"/>
      <c r="CP945" s="51"/>
      <c r="CQ945" s="51"/>
      <c r="CR945" s="51"/>
      <c r="CS945" s="51"/>
      <c r="CT945" s="51"/>
      <c r="CU945" s="1"/>
      <c r="CV945" s="1"/>
      <c r="CW945" s="1"/>
      <c r="CX945" s="1"/>
      <c r="CY945" s="1"/>
      <c r="CZ945" s="1"/>
    </row>
    <row r="946" spans="1:104" ht="14.25" customHeight="1">
      <c r="A946" s="1"/>
      <c r="B946" s="2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1"/>
      <c r="CA946" s="51"/>
      <c r="CB946" s="51"/>
      <c r="CC946" s="51"/>
      <c r="CD946" s="51"/>
      <c r="CE946" s="51"/>
      <c r="CF946" s="51"/>
      <c r="CG946" s="51"/>
      <c r="CH946" s="51"/>
      <c r="CI946" s="51"/>
      <c r="CJ946" s="51"/>
      <c r="CK946" s="51"/>
      <c r="CL946" s="51"/>
      <c r="CM946" s="51"/>
      <c r="CN946" s="51"/>
      <c r="CO946" s="51"/>
      <c r="CP946" s="51"/>
      <c r="CQ946" s="51"/>
      <c r="CR946" s="51"/>
      <c r="CS946" s="51"/>
      <c r="CT946" s="51"/>
      <c r="CU946" s="1"/>
      <c r="CV946" s="1"/>
      <c r="CW946" s="1"/>
      <c r="CX946" s="1"/>
      <c r="CY946" s="1"/>
      <c r="CZ946" s="1"/>
    </row>
    <row r="947" spans="1:104" ht="14.25" customHeight="1">
      <c r="A947" s="1"/>
      <c r="B947" s="2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  <c r="CC947" s="51"/>
      <c r="CD947" s="51"/>
      <c r="CE947" s="51"/>
      <c r="CF947" s="51"/>
      <c r="CG947" s="51"/>
      <c r="CH947" s="51"/>
      <c r="CI947" s="51"/>
      <c r="CJ947" s="51"/>
      <c r="CK947" s="51"/>
      <c r="CL947" s="51"/>
      <c r="CM947" s="51"/>
      <c r="CN947" s="51"/>
      <c r="CO947" s="51"/>
      <c r="CP947" s="51"/>
      <c r="CQ947" s="51"/>
      <c r="CR947" s="51"/>
      <c r="CS947" s="51"/>
      <c r="CT947" s="51"/>
      <c r="CU947" s="1"/>
      <c r="CV947" s="1"/>
      <c r="CW947" s="1"/>
      <c r="CX947" s="1"/>
      <c r="CY947" s="1"/>
      <c r="CZ947" s="1"/>
    </row>
    <row r="948" spans="1:104" ht="14.25" customHeight="1">
      <c r="A948" s="1"/>
      <c r="B948" s="2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  <c r="CC948" s="51"/>
      <c r="CD948" s="51"/>
      <c r="CE948" s="51"/>
      <c r="CF948" s="51"/>
      <c r="CG948" s="51"/>
      <c r="CH948" s="51"/>
      <c r="CI948" s="51"/>
      <c r="CJ948" s="51"/>
      <c r="CK948" s="51"/>
      <c r="CL948" s="51"/>
      <c r="CM948" s="51"/>
      <c r="CN948" s="51"/>
      <c r="CO948" s="51"/>
      <c r="CP948" s="51"/>
      <c r="CQ948" s="51"/>
      <c r="CR948" s="51"/>
      <c r="CS948" s="51"/>
      <c r="CT948" s="51"/>
      <c r="CU948" s="1"/>
      <c r="CV948" s="1"/>
      <c r="CW948" s="1"/>
      <c r="CX948" s="1"/>
      <c r="CY948" s="1"/>
      <c r="CZ948" s="1"/>
    </row>
    <row r="949" spans="1:104" ht="14.25" customHeight="1">
      <c r="A949" s="1"/>
      <c r="B949" s="2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1"/>
      <c r="CA949" s="51"/>
      <c r="CB949" s="51"/>
      <c r="CC949" s="51"/>
      <c r="CD949" s="51"/>
      <c r="CE949" s="51"/>
      <c r="CF949" s="51"/>
      <c r="CG949" s="51"/>
      <c r="CH949" s="51"/>
      <c r="CI949" s="51"/>
      <c r="CJ949" s="51"/>
      <c r="CK949" s="51"/>
      <c r="CL949" s="51"/>
      <c r="CM949" s="51"/>
      <c r="CN949" s="51"/>
      <c r="CO949" s="51"/>
      <c r="CP949" s="51"/>
      <c r="CQ949" s="51"/>
      <c r="CR949" s="51"/>
      <c r="CS949" s="51"/>
      <c r="CT949" s="51"/>
      <c r="CU949" s="1"/>
      <c r="CV949" s="1"/>
      <c r="CW949" s="1"/>
      <c r="CX949" s="1"/>
      <c r="CY949" s="1"/>
      <c r="CZ949" s="1"/>
    </row>
    <row r="950" spans="1:104" ht="14.25" customHeight="1">
      <c r="A950" s="1"/>
      <c r="B950" s="2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1"/>
      <c r="CA950" s="51"/>
      <c r="CB950" s="51"/>
      <c r="CC950" s="51"/>
      <c r="CD950" s="51"/>
      <c r="CE950" s="51"/>
      <c r="CF950" s="51"/>
      <c r="CG950" s="51"/>
      <c r="CH950" s="51"/>
      <c r="CI950" s="51"/>
      <c r="CJ950" s="51"/>
      <c r="CK950" s="51"/>
      <c r="CL950" s="51"/>
      <c r="CM950" s="51"/>
      <c r="CN950" s="51"/>
      <c r="CO950" s="51"/>
      <c r="CP950" s="51"/>
      <c r="CQ950" s="51"/>
      <c r="CR950" s="51"/>
      <c r="CS950" s="51"/>
      <c r="CT950" s="51"/>
      <c r="CU950" s="1"/>
      <c r="CV950" s="1"/>
      <c r="CW950" s="1"/>
      <c r="CX950" s="1"/>
      <c r="CY950" s="1"/>
      <c r="CZ950" s="1"/>
    </row>
    <row r="951" spans="1:104" ht="14.25" customHeight="1">
      <c r="A951" s="1"/>
      <c r="B951" s="2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1"/>
      <c r="CA951" s="51"/>
      <c r="CB951" s="51"/>
      <c r="CC951" s="51"/>
      <c r="CD951" s="51"/>
      <c r="CE951" s="51"/>
      <c r="CF951" s="51"/>
      <c r="CG951" s="51"/>
      <c r="CH951" s="51"/>
      <c r="CI951" s="51"/>
      <c r="CJ951" s="51"/>
      <c r="CK951" s="51"/>
      <c r="CL951" s="51"/>
      <c r="CM951" s="51"/>
      <c r="CN951" s="51"/>
      <c r="CO951" s="51"/>
      <c r="CP951" s="51"/>
      <c r="CQ951" s="51"/>
      <c r="CR951" s="51"/>
      <c r="CS951" s="51"/>
      <c r="CT951" s="51"/>
      <c r="CU951" s="1"/>
      <c r="CV951" s="1"/>
      <c r="CW951" s="1"/>
      <c r="CX951" s="1"/>
      <c r="CY951" s="1"/>
      <c r="CZ951" s="1"/>
    </row>
    <row r="952" spans="1:104" ht="14.25" customHeight="1">
      <c r="A952" s="1"/>
      <c r="B952" s="2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1"/>
      <c r="CA952" s="51"/>
      <c r="CB952" s="51"/>
      <c r="CC952" s="51"/>
      <c r="CD952" s="51"/>
      <c r="CE952" s="51"/>
      <c r="CF952" s="51"/>
      <c r="CG952" s="51"/>
      <c r="CH952" s="51"/>
      <c r="CI952" s="51"/>
      <c r="CJ952" s="51"/>
      <c r="CK952" s="51"/>
      <c r="CL952" s="51"/>
      <c r="CM952" s="51"/>
      <c r="CN952" s="51"/>
      <c r="CO952" s="51"/>
      <c r="CP952" s="51"/>
      <c r="CQ952" s="51"/>
      <c r="CR952" s="51"/>
      <c r="CS952" s="51"/>
      <c r="CT952" s="51"/>
      <c r="CU952" s="1"/>
      <c r="CV952" s="1"/>
      <c r="CW952" s="1"/>
      <c r="CX952" s="1"/>
      <c r="CY952" s="1"/>
      <c r="CZ952" s="1"/>
    </row>
    <row r="953" spans="1:104" ht="14.25" customHeight="1">
      <c r="A953" s="1"/>
      <c r="B953" s="2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1"/>
      <c r="CA953" s="51"/>
      <c r="CB953" s="51"/>
      <c r="CC953" s="51"/>
      <c r="CD953" s="51"/>
      <c r="CE953" s="51"/>
      <c r="CF953" s="51"/>
      <c r="CG953" s="51"/>
      <c r="CH953" s="51"/>
      <c r="CI953" s="51"/>
      <c r="CJ953" s="51"/>
      <c r="CK953" s="51"/>
      <c r="CL953" s="51"/>
      <c r="CM953" s="51"/>
      <c r="CN953" s="51"/>
      <c r="CO953" s="51"/>
      <c r="CP953" s="51"/>
      <c r="CQ953" s="51"/>
      <c r="CR953" s="51"/>
      <c r="CS953" s="51"/>
      <c r="CT953" s="51"/>
      <c r="CU953" s="1"/>
      <c r="CV953" s="1"/>
      <c r="CW953" s="1"/>
      <c r="CX953" s="1"/>
      <c r="CY953" s="1"/>
      <c r="CZ953" s="1"/>
    </row>
    <row r="954" spans="1:104" ht="14.25" customHeight="1">
      <c r="A954" s="1"/>
      <c r="B954" s="2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51"/>
      <c r="BX954" s="51"/>
      <c r="BY954" s="51"/>
      <c r="BZ954" s="51"/>
      <c r="CA954" s="51"/>
      <c r="CB954" s="51"/>
      <c r="CC954" s="51"/>
      <c r="CD954" s="51"/>
      <c r="CE954" s="51"/>
      <c r="CF954" s="51"/>
      <c r="CG954" s="51"/>
      <c r="CH954" s="51"/>
      <c r="CI954" s="51"/>
      <c r="CJ954" s="51"/>
      <c r="CK954" s="51"/>
      <c r="CL954" s="51"/>
      <c r="CM954" s="51"/>
      <c r="CN954" s="51"/>
      <c r="CO954" s="51"/>
      <c r="CP954" s="51"/>
      <c r="CQ954" s="51"/>
      <c r="CR954" s="51"/>
      <c r="CS954" s="51"/>
      <c r="CT954" s="51"/>
      <c r="CU954" s="1"/>
      <c r="CV954" s="1"/>
      <c r="CW954" s="1"/>
      <c r="CX954" s="1"/>
      <c r="CY954" s="1"/>
      <c r="CZ954" s="1"/>
    </row>
    <row r="955" spans="1:104" ht="14.25" customHeight="1">
      <c r="A955" s="1"/>
      <c r="B955" s="2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51"/>
      <c r="BX955" s="51"/>
      <c r="BY955" s="51"/>
      <c r="BZ955" s="51"/>
      <c r="CA955" s="51"/>
      <c r="CB955" s="51"/>
      <c r="CC955" s="51"/>
      <c r="CD955" s="51"/>
      <c r="CE955" s="51"/>
      <c r="CF955" s="51"/>
      <c r="CG955" s="51"/>
      <c r="CH955" s="51"/>
      <c r="CI955" s="51"/>
      <c r="CJ955" s="51"/>
      <c r="CK955" s="51"/>
      <c r="CL955" s="51"/>
      <c r="CM955" s="51"/>
      <c r="CN955" s="51"/>
      <c r="CO955" s="51"/>
      <c r="CP955" s="51"/>
      <c r="CQ955" s="51"/>
      <c r="CR955" s="51"/>
      <c r="CS955" s="51"/>
      <c r="CT955" s="51"/>
      <c r="CU955" s="1"/>
      <c r="CV955" s="1"/>
      <c r="CW955" s="1"/>
      <c r="CX955" s="1"/>
      <c r="CY955" s="1"/>
      <c r="CZ955" s="1"/>
    </row>
    <row r="956" spans="1:104" ht="14.25" customHeight="1">
      <c r="A956" s="1"/>
      <c r="B956" s="2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1"/>
      <c r="CA956" s="51"/>
      <c r="CB956" s="51"/>
      <c r="CC956" s="51"/>
      <c r="CD956" s="51"/>
      <c r="CE956" s="51"/>
      <c r="CF956" s="51"/>
      <c r="CG956" s="51"/>
      <c r="CH956" s="51"/>
      <c r="CI956" s="51"/>
      <c r="CJ956" s="51"/>
      <c r="CK956" s="51"/>
      <c r="CL956" s="51"/>
      <c r="CM956" s="51"/>
      <c r="CN956" s="51"/>
      <c r="CO956" s="51"/>
      <c r="CP956" s="51"/>
      <c r="CQ956" s="51"/>
      <c r="CR956" s="51"/>
      <c r="CS956" s="51"/>
      <c r="CT956" s="51"/>
      <c r="CU956" s="1"/>
      <c r="CV956" s="1"/>
      <c r="CW956" s="1"/>
      <c r="CX956" s="1"/>
      <c r="CY956" s="1"/>
      <c r="CZ956" s="1"/>
    </row>
    <row r="957" spans="1:104" ht="14.25" customHeight="1">
      <c r="A957" s="1"/>
      <c r="B957" s="2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51"/>
      <c r="BX957" s="51"/>
      <c r="BY957" s="51"/>
      <c r="BZ957" s="51"/>
      <c r="CA957" s="51"/>
      <c r="CB957" s="51"/>
      <c r="CC957" s="51"/>
      <c r="CD957" s="51"/>
      <c r="CE957" s="51"/>
      <c r="CF957" s="51"/>
      <c r="CG957" s="51"/>
      <c r="CH957" s="51"/>
      <c r="CI957" s="51"/>
      <c r="CJ957" s="51"/>
      <c r="CK957" s="51"/>
      <c r="CL957" s="51"/>
      <c r="CM957" s="51"/>
      <c r="CN957" s="51"/>
      <c r="CO957" s="51"/>
      <c r="CP957" s="51"/>
      <c r="CQ957" s="51"/>
      <c r="CR957" s="51"/>
      <c r="CS957" s="51"/>
      <c r="CT957" s="51"/>
      <c r="CU957" s="1"/>
      <c r="CV957" s="1"/>
      <c r="CW957" s="1"/>
      <c r="CX957" s="1"/>
      <c r="CY957" s="1"/>
      <c r="CZ957" s="1"/>
    </row>
    <row r="958" spans="1:104" ht="14.25" customHeight="1">
      <c r="A958" s="1"/>
      <c r="B958" s="2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51"/>
      <c r="BX958" s="51"/>
      <c r="BY958" s="51"/>
      <c r="BZ958" s="51"/>
      <c r="CA958" s="51"/>
      <c r="CB958" s="51"/>
      <c r="CC958" s="51"/>
      <c r="CD958" s="51"/>
      <c r="CE958" s="51"/>
      <c r="CF958" s="51"/>
      <c r="CG958" s="51"/>
      <c r="CH958" s="51"/>
      <c r="CI958" s="51"/>
      <c r="CJ958" s="51"/>
      <c r="CK958" s="51"/>
      <c r="CL958" s="51"/>
      <c r="CM958" s="51"/>
      <c r="CN958" s="51"/>
      <c r="CO958" s="51"/>
      <c r="CP958" s="51"/>
      <c r="CQ958" s="51"/>
      <c r="CR958" s="51"/>
      <c r="CS958" s="51"/>
      <c r="CT958" s="51"/>
      <c r="CU958" s="1"/>
      <c r="CV958" s="1"/>
      <c r="CW958" s="1"/>
      <c r="CX958" s="1"/>
      <c r="CY958" s="1"/>
      <c r="CZ958" s="1"/>
    </row>
    <row r="959" spans="1:104" ht="14.25" customHeight="1">
      <c r="A959" s="1"/>
      <c r="B959" s="2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1"/>
      <c r="CA959" s="51"/>
      <c r="CB959" s="51"/>
      <c r="CC959" s="51"/>
      <c r="CD959" s="51"/>
      <c r="CE959" s="51"/>
      <c r="CF959" s="51"/>
      <c r="CG959" s="51"/>
      <c r="CH959" s="51"/>
      <c r="CI959" s="51"/>
      <c r="CJ959" s="51"/>
      <c r="CK959" s="51"/>
      <c r="CL959" s="51"/>
      <c r="CM959" s="51"/>
      <c r="CN959" s="51"/>
      <c r="CO959" s="51"/>
      <c r="CP959" s="51"/>
      <c r="CQ959" s="51"/>
      <c r="CR959" s="51"/>
      <c r="CS959" s="51"/>
      <c r="CT959" s="51"/>
      <c r="CU959" s="1"/>
      <c r="CV959" s="1"/>
      <c r="CW959" s="1"/>
      <c r="CX959" s="1"/>
      <c r="CY959" s="1"/>
      <c r="CZ959" s="1"/>
    </row>
    <row r="960" spans="1:104" ht="14.25" customHeight="1">
      <c r="A960" s="1"/>
      <c r="B960" s="2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51"/>
      <c r="BX960" s="51"/>
      <c r="BY960" s="51"/>
      <c r="BZ960" s="51"/>
      <c r="CA960" s="51"/>
      <c r="CB960" s="51"/>
      <c r="CC960" s="51"/>
      <c r="CD960" s="51"/>
      <c r="CE960" s="51"/>
      <c r="CF960" s="51"/>
      <c r="CG960" s="51"/>
      <c r="CH960" s="51"/>
      <c r="CI960" s="51"/>
      <c r="CJ960" s="51"/>
      <c r="CK960" s="51"/>
      <c r="CL960" s="51"/>
      <c r="CM960" s="51"/>
      <c r="CN960" s="51"/>
      <c r="CO960" s="51"/>
      <c r="CP960" s="51"/>
      <c r="CQ960" s="51"/>
      <c r="CR960" s="51"/>
      <c r="CS960" s="51"/>
      <c r="CT960" s="51"/>
      <c r="CU960" s="1"/>
      <c r="CV960" s="1"/>
      <c r="CW960" s="1"/>
      <c r="CX960" s="1"/>
      <c r="CY960" s="1"/>
      <c r="CZ960" s="1"/>
    </row>
    <row r="961" spans="1:104" ht="14.25" customHeight="1">
      <c r="A961" s="1"/>
      <c r="B961" s="2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51"/>
      <c r="BX961" s="51"/>
      <c r="BY961" s="51"/>
      <c r="BZ961" s="51"/>
      <c r="CA961" s="51"/>
      <c r="CB961" s="51"/>
      <c r="CC961" s="51"/>
      <c r="CD961" s="51"/>
      <c r="CE961" s="51"/>
      <c r="CF961" s="51"/>
      <c r="CG961" s="51"/>
      <c r="CH961" s="51"/>
      <c r="CI961" s="51"/>
      <c r="CJ961" s="51"/>
      <c r="CK961" s="51"/>
      <c r="CL961" s="51"/>
      <c r="CM961" s="51"/>
      <c r="CN961" s="51"/>
      <c r="CO961" s="51"/>
      <c r="CP961" s="51"/>
      <c r="CQ961" s="51"/>
      <c r="CR961" s="51"/>
      <c r="CS961" s="51"/>
      <c r="CT961" s="51"/>
      <c r="CU961" s="1"/>
      <c r="CV961" s="1"/>
      <c r="CW961" s="1"/>
      <c r="CX961" s="1"/>
      <c r="CY961" s="1"/>
      <c r="CZ961" s="1"/>
    </row>
    <row r="962" spans="1:104" ht="14.25" customHeight="1">
      <c r="A962" s="1"/>
      <c r="B962" s="2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1"/>
      <c r="CA962" s="51"/>
      <c r="CB962" s="51"/>
      <c r="CC962" s="51"/>
      <c r="CD962" s="51"/>
      <c r="CE962" s="51"/>
      <c r="CF962" s="51"/>
      <c r="CG962" s="51"/>
      <c r="CH962" s="51"/>
      <c r="CI962" s="51"/>
      <c r="CJ962" s="51"/>
      <c r="CK962" s="51"/>
      <c r="CL962" s="51"/>
      <c r="CM962" s="51"/>
      <c r="CN962" s="51"/>
      <c r="CO962" s="51"/>
      <c r="CP962" s="51"/>
      <c r="CQ962" s="51"/>
      <c r="CR962" s="51"/>
      <c r="CS962" s="51"/>
      <c r="CT962" s="51"/>
      <c r="CU962" s="1"/>
      <c r="CV962" s="1"/>
      <c r="CW962" s="1"/>
      <c r="CX962" s="1"/>
      <c r="CY962" s="1"/>
      <c r="CZ962" s="1"/>
    </row>
    <row r="963" spans="1:104" ht="14.25" customHeight="1">
      <c r="A963" s="1"/>
      <c r="B963" s="2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1"/>
      <c r="CA963" s="51"/>
      <c r="CB963" s="51"/>
      <c r="CC963" s="51"/>
      <c r="CD963" s="51"/>
      <c r="CE963" s="51"/>
      <c r="CF963" s="51"/>
      <c r="CG963" s="51"/>
      <c r="CH963" s="51"/>
      <c r="CI963" s="51"/>
      <c r="CJ963" s="51"/>
      <c r="CK963" s="51"/>
      <c r="CL963" s="51"/>
      <c r="CM963" s="51"/>
      <c r="CN963" s="51"/>
      <c r="CO963" s="51"/>
      <c r="CP963" s="51"/>
      <c r="CQ963" s="51"/>
      <c r="CR963" s="51"/>
      <c r="CS963" s="51"/>
      <c r="CT963" s="51"/>
      <c r="CU963" s="1"/>
      <c r="CV963" s="1"/>
      <c r="CW963" s="1"/>
      <c r="CX963" s="1"/>
      <c r="CY963" s="1"/>
      <c r="CZ963" s="1"/>
    </row>
    <row r="964" spans="1:104" ht="14.25" customHeight="1">
      <c r="A964" s="1"/>
      <c r="B964" s="2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51"/>
      <c r="BX964" s="51"/>
      <c r="BY964" s="51"/>
      <c r="BZ964" s="51"/>
      <c r="CA964" s="51"/>
      <c r="CB964" s="51"/>
      <c r="CC964" s="51"/>
      <c r="CD964" s="51"/>
      <c r="CE964" s="51"/>
      <c r="CF964" s="51"/>
      <c r="CG964" s="51"/>
      <c r="CH964" s="51"/>
      <c r="CI964" s="51"/>
      <c r="CJ964" s="51"/>
      <c r="CK964" s="51"/>
      <c r="CL964" s="51"/>
      <c r="CM964" s="51"/>
      <c r="CN964" s="51"/>
      <c r="CO964" s="51"/>
      <c r="CP964" s="51"/>
      <c r="CQ964" s="51"/>
      <c r="CR964" s="51"/>
      <c r="CS964" s="51"/>
      <c r="CT964" s="51"/>
      <c r="CU964" s="1"/>
      <c r="CV964" s="1"/>
      <c r="CW964" s="1"/>
      <c r="CX964" s="1"/>
      <c r="CY964" s="1"/>
      <c r="CZ964" s="1"/>
    </row>
    <row r="965" spans="1:104" ht="14.25" customHeight="1">
      <c r="A965" s="1"/>
      <c r="B965" s="2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1"/>
      <c r="CA965" s="51"/>
      <c r="CB965" s="51"/>
      <c r="CC965" s="51"/>
      <c r="CD965" s="51"/>
      <c r="CE965" s="51"/>
      <c r="CF965" s="51"/>
      <c r="CG965" s="51"/>
      <c r="CH965" s="51"/>
      <c r="CI965" s="51"/>
      <c r="CJ965" s="51"/>
      <c r="CK965" s="51"/>
      <c r="CL965" s="51"/>
      <c r="CM965" s="51"/>
      <c r="CN965" s="51"/>
      <c r="CO965" s="51"/>
      <c r="CP965" s="51"/>
      <c r="CQ965" s="51"/>
      <c r="CR965" s="51"/>
      <c r="CS965" s="51"/>
      <c r="CT965" s="51"/>
      <c r="CU965" s="1"/>
      <c r="CV965" s="1"/>
      <c r="CW965" s="1"/>
      <c r="CX965" s="1"/>
      <c r="CY965" s="1"/>
      <c r="CZ965" s="1"/>
    </row>
    <row r="966" spans="1:104" ht="14.25" customHeight="1">
      <c r="A966" s="1"/>
      <c r="B966" s="2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51"/>
      <c r="BX966" s="51"/>
      <c r="BY966" s="51"/>
      <c r="BZ966" s="51"/>
      <c r="CA966" s="51"/>
      <c r="CB966" s="51"/>
      <c r="CC966" s="51"/>
      <c r="CD966" s="51"/>
      <c r="CE966" s="51"/>
      <c r="CF966" s="51"/>
      <c r="CG966" s="51"/>
      <c r="CH966" s="51"/>
      <c r="CI966" s="51"/>
      <c r="CJ966" s="51"/>
      <c r="CK966" s="51"/>
      <c r="CL966" s="51"/>
      <c r="CM966" s="51"/>
      <c r="CN966" s="51"/>
      <c r="CO966" s="51"/>
      <c r="CP966" s="51"/>
      <c r="CQ966" s="51"/>
      <c r="CR966" s="51"/>
      <c r="CS966" s="51"/>
      <c r="CT966" s="51"/>
      <c r="CU966" s="1"/>
      <c r="CV966" s="1"/>
      <c r="CW966" s="1"/>
      <c r="CX966" s="1"/>
      <c r="CY966" s="1"/>
      <c r="CZ966" s="1"/>
    </row>
    <row r="967" spans="1:104" ht="14.25" customHeight="1">
      <c r="A967" s="1"/>
      <c r="B967" s="2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51"/>
      <c r="BX967" s="51"/>
      <c r="BY967" s="51"/>
      <c r="BZ967" s="51"/>
      <c r="CA967" s="51"/>
      <c r="CB967" s="51"/>
      <c r="CC967" s="51"/>
      <c r="CD967" s="51"/>
      <c r="CE967" s="51"/>
      <c r="CF967" s="51"/>
      <c r="CG967" s="51"/>
      <c r="CH967" s="51"/>
      <c r="CI967" s="51"/>
      <c r="CJ967" s="51"/>
      <c r="CK967" s="51"/>
      <c r="CL967" s="51"/>
      <c r="CM967" s="51"/>
      <c r="CN967" s="51"/>
      <c r="CO967" s="51"/>
      <c r="CP967" s="51"/>
      <c r="CQ967" s="51"/>
      <c r="CR967" s="51"/>
      <c r="CS967" s="51"/>
      <c r="CT967" s="51"/>
      <c r="CU967" s="1"/>
      <c r="CV967" s="1"/>
      <c r="CW967" s="1"/>
      <c r="CX967" s="1"/>
      <c r="CY967" s="1"/>
      <c r="CZ967" s="1"/>
    </row>
    <row r="968" spans="1:104" ht="14.25" customHeight="1">
      <c r="A968" s="1"/>
      <c r="B968" s="2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  <c r="CC968" s="51"/>
      <c r="CD968" s="51"/>
      <c r="CE968" s="51"/>
      <c r="CF968" s="51"/>
      <c r="CG968" s="51"/>
      <c r="CH968" s="51"/>
      <c r="CI968" s="51"/>
      <c r="CJ968" s="51"/>
      <c r="CK968" s="51"/>
      <c r="CL968" s="51"/>
      <c r="CM968" s="51"/>
      <c r="CN968" s="51"/>
      <c r="CO968" s="51"/>
      <c r="CP968" s="51"/>
      <c r="CQ968" s="51"/>
      <c r="CR968" s="51"/>
      <c r="CS968" s="51"/>
      <c r="CT968" s="51"/>
      <c r="CU968" s="1"/>
      <c r="CV968" s="1"/>
      <c r="CW968" s="1"/>
      <c r="CX968" s="1"/>
      <c r="CY968" s="1"/>
      <c r="CZ968" s="1"/>
    </row>
    <row r="969" spans="1:104" ht="14.25" customHeight="1">
      <c r="A969" s="1"/>
      <c r="B969" s="2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51"/>
      <c r="BX969" s="51"/>
      <c r="BY969" s="51"/>
      <c r="BZ969" s="51"/>
      <c r="CA969" s="51"/>
      <c r="CB969" s="51"/>
      <c r="CC969" s="51"/>
      <c r="CD969" s="51"/>
      <c r="CE969" s="51"/>
      <c r="CF969" s="51"/>
      <c r="CG969" s="51"/>
      <c r="CH969" s="51"/>
      <c r="CI969" s="51"/>
      <c r="CJ969" s="51"/>
      <c r="CK969" s="51"/>
      <c r="CL969" s="51"/>
      <c r="CM969" s="51"/>
      <c r="CN969" s="51"/>
      <c r="CO969" s="51"/>
      <c r="CP969" s="51"/>
      <c r="CQ969" s="51"/>
      <c r="CR969" s="51"/>
      <c r="CS969" s="51"/>
      <c r="CT969" s="51"/>
      <c r="CU969" s="1"/>
      <c r="CV969" s="1"/>
      <c r="CW969" s="1"/>
      <c r="CX969" s="1"/>
      <c r="CY969" s="1"/>
      <c r="CZ969" s="1"/>
    </row>
    <row r="970" spans="1:104" ht="14.25" customHeight="1">
      <c r="A970" s="1"/>
      <c r="B970" s="2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51"/>
      <c r="BX970" s="51"/>
      <c r="BY970" s="51"/>
      <c r="BZ970" s="51"/>
      <c r="CA970" s="51"/>
      <c r="CB970" s="51"/>
      <c r="CC970" s="51"/>
      <c r="CD970" s="51"/>
      <c r="CE970" s="51"/>
      <c r="CF970" s="51"/>
      <c r="CG970" s="51"/>
      <c r="CH970" s="51"/>
      <c r="CI970" s="51"/>
      <c r="CJ970" s="51"/>
      <c r="CK970" s="51"/>
      <c r="CL970" s="51"/>
      <c r="CM970" s="51"/>
      <c r="CN970" s="51"/>
      <c r="CO970" s="51"/>
      <c r="CP970" s="51"/>
      <c r="CQ970" s="51"/>
      <c r="CR970" s="51"/>
      <c r="CS970" s="51"/>
      <c r="CT970" s="51"/>
      <c r="CU970" s="1"/>
      <c r="CV970" s="1"/>
      <c r="CW970" s="1"/>
      <c r="CX970" s="1"/>
      <c r="CY970" s="1"/>
      <c r="CZ970" s="1"/>
    </row>
    <row r="971" spans="1:104" ht="14.25" customHeight="1">
      <c r="A971" s="1"/>
      <c r="B971" s="2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1"/>
      <c r="CA971" s="51"/>
      <c r="CB971" s="51"/>
      <c r="CC971" s="51"/>
      <c r="CD971" s="51"/>
      <c r="CE971" s="51"/>
      <c r="CF971" s="51"/>
      <c r="CG971" s="51"/>
      <c r="CH971" s="51"/>
      <c r="CI971" s="51"/>
      <c r="CJ971" s="51"/>
      <c r="CK971" s="51"/>
      <c r="CL971" s="51"/>
      <c r="CM971" s="51"/>
      <c r="CN971" s="51"/>
      <c r="CO971" s="51"/>
      <c r="CP971" s="51"/>
      <c r="CQ971" s="51"/>
      <c r="CR971" s="51"/>
      <c r="CS971" s="51"/>
      <c r="CT971" s="51"/>
      <c r="CU971" s="1"/>
      <c r="CV971" s="1"/>
      <c r="CW971" s="1"/>
      <c r="CX971" s="1"/>
      <c r="CY971" s="1"/>
      <c r="CZ971" s="1"/>
    </row>
    <row r="972" spans="1:104" ht="14.25" customHeight="1">
      <c r="A972" s="1"/>
      <c r="B972" s="2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51"/>
      <c r="BX972" s="51"/>
      <c r="BY972" s="51"/>
      <c r="BZ972" s="51"/>
      <c r="CA972" s="51"/>
      <c r="CB972" s="51"/>
      <c r="CC972" s="51"/>
      <c r="CD972" s="51"/>
      <c r="CE972" s="51"/>
      <c r="CF972" s="51"/>
      <c r="CG972" s="51"/>
      <c r="CH972" s="51"/>
      <c r="CI972" s="51"/>
      <c r="CJ972" s="51"/>
      <c r="CK972" s="51"/>
      <c r="CL972" s="51"/>
      <c r="CM972" s="51"/>
      <c r="CN972" s="51"/>
      <c r="CO972" s="51"/>
      <c r="CP972" s="51"/>
      <c r="CQ972" s="51"/>
      <c r="CR972" s="51"/>
      <c r="CS972" s="51"/>
      <c r="CT972" s="51"/>
      <c r="CU972" s="1"/>
      <c r="CV972" s="1"/>
      <c r="CW972" s="1"/>
      <c r="CX972" s="1"/>
      <c r="CY972" s="1"/>
      <c r="CZ972" s="1"/>
    </row>
    <row r="973" spans="1:104" ht="14.25" customHeight="1">
      <c r="A973" s="1"/>
      <c r="B973" s="2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51"/>
      <c r="BX973" s="51"/>
      <c r="BY973" s="51"/>
      <c r="BZ973" s="51"/>
      <c r="CA973" s="51"/>
      <c r="CB973" s="51"/>
      <c r="CC973" s="51"/>
      <c r="CD973" s="51"/>
      <c r="CE973" s="51"/>
      <c r="CF973" s="51"/>
      <c r="CG973" s="51"/>
      <c r="CH973" s="51"/>
      <c r="CI973" s="51"/>
      <c r="CJ973" s="51"/>
      <c r="CK973" s="51"/>
      <c r="CL973" s="51"/>
      <c r="CM973" s="51"/>
      <c r="CN973" s="51"/>
      <c r="CO973" s="51"/>
      <c r="CP973" s="51"/>
      <c r="CQ973" s="51"/>
      <c r="CR973" s="51"/>
      <c r="CS973" s="51"/>
      <c r="CT973" s="51"/>
      <c r="CU973" s="1"/>
      <c r="CV973" s="1"/>
      <c r="CW973" s="1"/>
      <c r="CX973" s="1"/>
      <c r="CY973" s="1"/>
      <c r="CZ973" s="1"/>
    </row>
    <row r="974" spans="1:104" ht="14.25" customHeight="1">
      <c r="A974" s="1"/>
      <c r="B974" s="2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1"/>
      <c r="CA974" s="51"/>
      <c r="CB974" s="51"/>
      <c r="CC974" s="51"/>
      <c r="CD974" s="51"/>
      <c r="CE974" s="51"/>
      <c r="CF974" s="51"/>
      <c r="CG974" s="51"/>
      <c r="CH974" s="51"/>
      <c r="CI974" s="51"/>
      <c r="CJ974" s="51"/>
      <c r="CK974" s="51"/>
      <c r="CL974" s="51"/>
      <c r="CM974" s="51"/>
      <c r="CN974" s="51"/>
      <c r="CO974" s="51"/>
      <c r="CP974" s="51"/>
      <c r="CQ974" s="51"/>
      <c r="CR974" s="51"/>
      <c r="CS974" s="51"/>
      <c r="CT974" s="51"/>
      <c r="CU974" s="1"/>
      <c r="CV974" s="1"/>
      <c r="CW974" s="1"/>
      <c r="CX974" s="1"/>
      <c r="CY974" s="1"/>
      <c r="CZ974" s="1"/>
    </row>
    <row r="975" spans="1:104" ht="14.25" customHeight="1">
      <c r="A975" s="1"/>
      <c r="B975" s="2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51"/>
      <c r="BX975" s="51"/>
      <c r="BY975" s="51"/>
      <c r="BZ975" s="51"/>
      <c r="CA975" s="51"/>
      <c r="CB975" s="51"/>
      <c r="CC975" s="51"/>
      <c r="CD975" s="51"/>
      <c r="CE975" s="51"/>
      <c r="CF975" s="51"/>
      <c r="CG975" s="51"/>
      <c r="CH975" s="51"/>
      <c r="CI975" s="51"/>
      <c r="CJ975" s="51"/>
      <c r="CK975" s="51"/>
      <c r="CL975" s="51"/>
      <c r="CM975" s="51"/>
      <c r="CN975" s="51"/>
      <c r="CO975" s="51"/>
      <c r="CP975" s="51"/>
      <c r="CQ975" s="51"/>
      <c r="CR975" s="51"/>
      <c r="CS975" s="51"/>
      <c r="CT975" s="51"/>
      <c r="CU975" s="1"/>
      <c r="CV975" s="1"/>
      <c r="CW975" s="1"/>
      <c r="CX975" s="1"/>
      <c r="CY975" s="1"/>
      <c r="CZ975" s="1"/>
    </row>
    <row r="976" spans="1:104" ht="14.25" customHeight="1">
      <c r="A976" s="1"/>
      <c r="B976" s="2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51"/>
      <c r="BX976" s="51"/>
      <c r="BY976" s="51"/>
      <c r="BZ976" s="51"/>
      <c r="CA976" s="51"/>
      <c r="CB976" s="51"/>
      <c r="CC976" s="51"/>
      <c r="CD976" s="51"/>
      <c r="CE976" s="51"/>
      <c r="CF976" s="51"/>
      <c r="CG976" s="51"/>
      <c r="CH976" s="51"/>
      <c r="CI976" s="51"/>
      <c r="CJ976" s="51"/>
      <c r="CK976" s="51"/>
      <c r="CL976" s="51"/>
      <c r="CM976" s="51"/>
      <c r="CN976" s="51"/>
      <c r="CO976" s="51"/>
      <c r="CP976" s="51"/>
      <c r="CQ976" s="51"/>
      <c r="CR976" s="51"/>
      <c r="CS976" s="51"/>
      <c r="CT976" s="51"/>
      <c r="CU976" s="1"/>
      <c r="CV976" s="1"/>
      <c r="CW976" s="1"/>
      <c r="CX976" s="1"/>
      <c r="CY976" s="1"/>
      <c r="CZ976" s="1"/>
    </row>
    <row r="977" spans="1:104" ht="14.25" customHeight="1">
      <c r="A977" s="1"/>
      <c r="B977" s="2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51"/>
      <c r="BX977" s="51"/>
      <c r="BY977" s="51"/>
      <c r="BZ977" s="51"/>
      <c r="CA977" s="51"/>
      <c r="CB977" s="51"/>
      <c r="CC977" s="51"/>
      <c r="CD977" s="51"/>
      <c r="CE977" s="51"/>
      <c r="CF977" s="51"/>
      <c r="CG977" s="51"/>
      <c r="CH977" s="51"/>
      <c r="CI977" s="51"/>
      <c r="CJ977" s="51"/>
      <c r="CK977" s="51"/>
      <c r="CL977" s="51"/>
      <c r="CM977" s="51"/>
      <c r="CN977" s="51"/>
      <c r="CO977" s="51"/>
      <c r="CP977" s="51"/>
      <c r="CQ977" s="51"/>
      <c r="CR977" s="51"/>
      <c r="CS977" s="51"/>
      <c r="CT977" s="51"/>
      <c r="CU977" s="1"/>
      <c r="CV977" s="1"/>
      <c r="CW977" s="1"/>
      <c r="CX977" s="1"/>
      <c r="CY977" s="1"/>
      <c r="CZ977" s="1"/>
    </row>
    <row r="978" spans="1:104" ht="14.25" customHeight="1">
      <c r="A978" s="1"/>
      <c r="B978" s="2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51"/>
      <c r="BX978" s="51"/>
      <c r="BY978" s="51"/>
      <c r="BZ978" s="51"/>
      <c r="CA978" s="51"/>
      <c r="CB978" s="51"/>
      <c r="CC978" s="51"/>
      <c r="CD978" s="51"/>
      <c r="CE978" s="51"/>
      <c r="CF978" s="51"/>
      <c r="CG978" s="51"/>
      <c r="CH978" s="51"/>
      <c r="CI978" s="51"/>
      <c r="CJ978" s="51"/>
      <c r="CK978" s="51"/>
      <c r="CL978" s="51"/>
      <c r="CM978" s="51"/>
      <c r="CN978" s="51"/>
      <c r="CO978" s="51"/>
      <c r="CP978" s="51"/>
      <c r="CQ978" s="51"/>
      <c r="CR978" s="51"/>
      <c r="CS978" s="51"/>
      <c r="CT978" s="51"/>
      <c r="CU978" s="1"/>
      <c r="CV978" s="1"/>
      <c r="CW978" s="1"/>
      <c r="CX978" s="1"/>
      <c r="CY978" s="1"/>
      <c r="CZ978" s="1"/>
    </row>
    <row r="979" spans="1:104" ht="14.25" customHeight="1">
      <c r="A979" s="1"/>
      <c r="B979" s="2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51"/>
      <c r="BX979" s="51"/>
      <c r="BY979" s="51"/>
      <c r="BZ979" s="51"/>
      <c r="CA979" s="51"/>
      <c r="CB979" s="51"/>
      <c r="CC979" s="51"/>
      <c r="CD979" s="51"/>
      <c r="CE979" s="51"/>
      <c r="CF979" s="51"/>
      <c r="CG979" s="51"/>
      <c r="CH979" s="51"/>
      <c r="CI979" s="51"/>
      <c r="CJ979" s="51"/>
      <c r="CK979" s="51"/>
      <c r="CL979" s="51"/>
      <c r="CM979" s="51"/>
      <c r="CN979" s="51"/>
      <c r="CO979" s="51"/>
      <c r="CP979" s="51"/>
      <c r="CQ979" s="51"/>
      <c r="CR979" s="51"/>
      <c r="CS979" s="51"/>
      <c r="CT979" s="51"/>
      <c r="CU979" s="1"/>
      <c r="CV979" s="1"/>
      <c r="CW979" s="1"/>
      <c r="CX979" s="1"/>
      <c r="CY979" s="1"/>
      <c r="CZ979" s="1"/>
    </row>
    <row r="980" spans="1:104" ht="14.25" customHeight="1">
      <c r="A980" s="1"/>
      <c r="B980" s="2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1"/>
      <c r="CA980" s="51"/>
      <c r="CB980" s="51"/>
      <c r="CC980" s="51"/>
      <c r="CD980" s="51"/>
      <c r="CE980" s="51"/>
      <c r="CF980" s="51"/>
      <c r="CG980" s="51"/>
      <c r="CH980" s="51"/>
      <c r="CI980" s="51"/>
      <c r="CJ980" s="51"/>
      <c r="CK980" s="51"/>
      <c r="CL980" s="51"/>
      <c r="CM980" s="51"/>
      <c r="CN980" s="51"/>
      <c r="CO980" s="51"/>
      <c r="CP980" s="51"/>
      <c r="CQ980" s="51"/>
      <c r="CR980" s="51"/>
      <c r="CS980" s="51"/>
      <c r="CT980" s="51"/>
      <c r="CU980" s="1"/>
      <c r="CV980" s="1"/>
      <c r="CW980" s="1"/>
      <c r="CX980" s="1"/>
      <c r="CY980" s="1"/>
      <c r="CZ980" s="1"/>
    </row>
    <row r="981" spans="1:104" ht="14.25" customHeight="1">
      <c r="A981" s="1"/>
      <c r="B981" s="2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51"/>
      <c r="BX981" s="51"/>
      <c r="BY981" s="51"/>
      <c r="BZ981" s="51"/>
      <c r="CA981" s="51"/>
      <c r="CB981" s="51"/>
      <c r="CC981" s="51"/>
      <c r="CD981" s="51"/>
      <c r="CE981" s="51"/>
      <c r="CF981" s="51"/>
      <c r="CG981" s="51"/>
      <c r="CH981" s="51"/>
      <c r="CI981" s="51"/>
      <c r="CJ981" s="51"/>
      <c r="CK981" s="51"/>
      <c r="CL981" s="51"/>
      <c r="CM981" s="51"/>
      <c r="CN981" s="51"/>
      <c r="CO981" s="51"/>
      <c r="CP981" s="51"/>
      <c r="CQ981" s="51"/>
      <c r="CR981" s="51"/>
      <c r="CS981" s="51"/>
      <c r="CT981" s="51"/>
      <c r="CU981" s="1"/>
      <c r="CV981" s="1"/>
      <c r="CW981" s="1"/>
      <c r="CX981" s="1"/>
      <c r="CY981" s="1"/>
      <c r="CZ981" s="1"/>
    </row>
    <row r="982" spans="1:104" ht="14.25" customHeight="1">
      <c r="A982" s="1"/>
      <c r="B982" s="2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51"/>
      <c r="BX982" s="51"/>
      <c r="BY982" s="51"/>
      <c r="BZ982" s="51"/>
      <c r="CA982" s="51"/>
      <c r="CB982" s="51"/>
      <c r="CC982" s="51"/>
      <c r="CD982" s="51"/>
      <c r="CE982" s="51"/>
      <c r="CF982" s="51"/>
      <c r="CG982" s="51"/>
      <c r="CH982" s="51"/>
      <c r="CI982" s="51"/>
      <c r="CJ982" s="51"/>
      <c r="CK982" s="51"/>
      <c r="CL982" s="51"/>
      <c r="CM982" s="51"/>
      <c r="CN982" s="51"/>
      <c r="CO982" s="51"/>
      <c r="CP982" s="51"/>
      <c r="CQ982" s="51"/>
      <c r="CR982" s="51"/>
      <c r="CS982" s="51"/>
      <c r="CT982" s="51"/>
      <c r="CU982" s="1"/>
      <c r="CV982" s="1"/>
      <c r="CW982" s="1"/>
      <c r="CX982" s="1"/>
      <c r="CY982" s="1"/>
      <c r="CZ982" s="1"/>
    </row>
    <row r="983" spans="1:104" ht="14.25" customHeight="1">
      <c r="A983" s="1"/>
      <c r="B983" s="2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1"/>
      <c r="CA983" s="51"/>
      <c r="CB983" s="51"/>
      <c r="CC983" s="51"/>
      <c r="CD983" s="51"/>
      <c r="CE983" s="51"/>
      <c r="CF983" s="51"/>
      <c r="CG983" s="51"/>
      <c r="CH983" s="51"/>
      <c r="CI983" s="51"/>
      <c r="CJ983" s="51"/>
      <c r="CK983" s="51"/>
      <c r="CL983" s="51"/>
      <c r="CM983" s="51"/>
      <c r="CN983" s="51"/>
      <c r="CO983" s="51"/>
      <c r="CP983" s="51"/>
      <c r="CQ983" s="51"/>
      <c r="CR983" s="51"/>
      <c r="CS983" s="51"/>
      <c r="CT983" s="51"/>
      <c r="CU983" s="1"/>
      <c r="CV983" s="1"/>
      <c r="CW983" s="1"/>
      <c r="CX983" s="1"/>
      <c r="CY983" s="1"/>
      <c r="CZ983" s="1"/>
    </row>
    <row r="984" spans="1:104" ht="14.25" customHeight="1">
      <c r="A984" s="1"/>
      <c r="B984" s="2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51"/>
      <c r="BX984" s="51"/>
      <c r="BY984" s="51"/>
      <c r="BZ984" s="51"/>
      <c r="CA984" s="51"/>
      <c r="CB984" s="51"/>
      <c r="CC984" s="51"/>
      <c r="CD984" s="51"/>
      <c r="CE984" s="51"/>
      <c r="CF984" s="51"/>
      <c r="CG984" s="51"/>
      <c r="CH984" s="51"/>
      <c r="CI984" s="51"/>
      <c r="CJ984" s="51"/>
      <c r="CK984" s="51"/>
      <c r="CL984" s="51"/>
      <c r="CM984" s="51"/>
      <c r="CN984" s="51"/>
      <c r="CO984" s="51"/>
      <c r="CP984" s="51"/>
      <c r="CQ984" s="51"/>
      <c r="CR984" s="51"/>
      <c r="CS984" s="51"/>
      <c r="CT984" s="51"/>
      <c r="CU984" s="1"/>
      <c r="CV984" s="1"/>
      <c r="CW984" s="1"/>
      <c r="CX984" s="1"/>
      <c r="CY984" s="1"/>
      <c r="CZ984" s="1"/>
    </row>
    <row r="985" spans="1:104" ht="14.25" customHeight="1">
      <c r="A985" s="1"/>
      <c r="B985" s="2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  <c r="CC985" s="51"/>
      <c r="CD985" s="51"/>
      <c r="CE985" s="51"/>
      <c r="CF985" s="51"/>
      <c r="CG985" s="51"/>
      <c r="CH985" s="51"/>
      <c r="CI985" s="51"/>
      <c r="CJ985" s="51"/>
      <c r="CK985" s="51"/>
      <c r="CL985" s="51"/>
      <c r="CM985" s="51"/>
      <c r="CN985" s="51"/>
      <c r="CO985" s="51"/>
      <c r="CP985" s="51"/>
      <c r="CQ985" s="51"/>
      <c r="CR985" s="51"/>
      <c r="CS985" s="51"/>
      <c r="CT985" s="51"/>
      <c r="CU985" s="1"/>
      <c r="CV985" s="1"/>
      <c r="CW985" s="1"/>
      <c r="CX985" s="1"/>
      <c r="CY985" s="1"/>
      <c r="CZ985" s="1"/>
    </row>
    <row r="986" spans="1:104" ht="14.25" customHeight="1">
      <c r="A986" s="1"/>
      <c r="B986" s="2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51"/>
      <c r="BX986" s="51"/>
      <c r="BY986" s="51"/>
      <c r="BZ986" s="51"/>
      <c r="CA986" s="51"/>
      <c r="CB986" s="51"/>
      <c r="CC986" s="51"/>
      <c r="CD986" s="51"/>
      <c r="CE986" s="51"/>
      <c r="CF986" s="51"/>
      <c r="CG986" s="51"/>
      <c r="CH986" s="51"/>
      <c r="CI986" s="51"/>
      <c r="CJ986" s="51"/>
      <c r="CK986" s="51"/>
      <c r="CL986" s="51"/>
      <c r="CM986" s="51"/>
      <c r="CN986" s="51"/>
      <c r="CO986" s="51"/>
      <c r="CP986" s="51"/>
      <c r="CQ986" s="51"/>
      <c r="CR986" s="51"/>
      <c r="CS986" s="51"/>
      <c r="CT986" s="51"/>
      <c r="CU986" s="1"/>
      <c r="CV986" s="1"/>
      <c r="CW986" s="1"/>
      <c r="CX986" s="1"/>
      <c r="CY986" s="1"/>
      <c r="CZ986" s="1"/>
    </row>
    <row r="987" spans="1:104" ht="14.25" customHeight="1">
      <c r="A987" s="1"/>
      <c r="B987" s="2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1"/>
      <c r="CA987" s="51"/>
      <c r="CB987" s="51"/>
      <c r="CC987" s="51"/>
      <c r="CD987" s="51"/>
      <c r="CE987" s="51"/>
      <c r="CF987" s="51"/>
      <c r="CG987" s="51"/>
      <c r="CH987" s="51"/>
      <c r="CI987" s="51"/>
      <c r="CJ987" s="51"/>
      <c r="CK987" s="51"/>
      <c r="CL987" s="51"/>
      <c r="CM987" s="51"/>
      <c r="CN987" s="51"/>
      <c r="CO987" s="51"/>
      <c r="CP987" s="51"/>
      <c r="CQ987" s="51"/>
      <c r="CR987" s="51"/>
      <c r="CS987" s="51"/>
      <c r="CT987" s="51"/>
      <c r="CU987" s="1"/>
      <c r="CV987" s="1"/>
      <c r="CW987" s="1"/>
      <c r="CX987" s="1"/>
      <c r="CY987" s="1"/>
      <c r="CZ987" s="1"/>
    </row>
    <row r="988" spans="1:104" ht="14.25" customHeight="1">
      <c r="A988" s="1"/>
      <c r="B988" s="2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51"/>
      <c r="BX988" s="51"/>
      <c r="BY988" s="51"/>
      <c r="BZ988" s="51"/>
      <c r="CA988" s="51"/>
      <c r="CB988" s="51"/>
      <c r="CC988" s="51"/>
      <c r="CD988" s="51"/>
      <c r="CE988" s="51"/>
      <c r="CF988" s="51"/>
      <c r="CG988" s="51"/>
      <c r="CH988" s="51"/>
      <c r="CI988" s="51"/>
      <c r="CJ988" s="51"/>
      <c r="CK988" s="51"/>
      <c r="CL988" s="51"/>
      <c r="CM988" s="51"/>
      <c r="CN988" s="51"/>
      <c r="CO988" s="51"/>
      <c r="CP988" s="51"/>
      <c r="CQ988" s="51"/>
      <c r="CR988" s="51"/>
      <c r="CS988" s="51"/>
      <c r="CT988" s="51"/>
      <c r="CU988" s="1"/>
      <c r="CV988" s="1"/>
      <c r="CW988" s="1"/>
      <c r="CX988" s="1"/>
      <c r="CY988" s="1"/>
      <c r="CZ988" s="1"/>
    </row>
    <row r="989" spans="1:104" ht="14.25" customHeight="1">
      <c r="A989" s="1"/>
      <c r="B989" s="2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51"/>
      <c r="BX989" s="51"/>
      <c r="BY989" s="51"/>
      <c r="BZ989" s="51"/>
      <c r="CA989" s="51"/>
      <c r="CB989" s="51"/>
      <c r="CC989" s="51"/>
      <c r="CD989" s="51"/>
      <c r="CE989" s="51"/>
      <c r="CF989" s="51"/>
      <c r="CG989" s="51"/>
      <c r="CH989" s="51"/>
      <c r="CI989" s="51"/>
      <c r="CJ989" s="51"/>
      <c r="CK989" s="51"/>
      <c r="CL989" s="51"/>
      <c r="CM989" s="51"/>
      <c r="CN989" s="51"/>
      <c r="CO989" s="51"/>
      <c r="CP989" s="51"/>
      <c r="CQ989" s="51"/>
      <c r="CR989" s="51"/>
      <c r="CS989" s="51"/>
      <c r="CT989" s="51"/>
      <c r="CU989" s="1"/>
      <c r="CV989" s="1"/>
      <c r="CW989" s="1"/>
      <c r="CX989" s="1"/>
      <c r="CY989" s="1"/>
      <c r="CZ989" s="1"/>
    </row>
    <row r="990" spans="1:104" ht="14.25" customHeight="1">
      <c r="A990" s="1"/>
      <c r="B990" s="2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51"/>
      <c r="BX990" s="51"/>
      <c r="BY990" s="51"/>
      <c r="BZ990" s="51"/>
      <c r="CA990" s="51"/>
      <c r="CB990" s="51"/>
      <c r="CC990" s="51"/>
      <c r="CD990" s="51"/>
      <c r="CE990" s="51"/>
      <c r="CF990" s="51"/>
      <c r="CG990" s="51"/>
      <c r="CH990" s="51"/>
      <c r="CI990" s="51"/>
      <c r="CJ990" s="51"/>
      <c r="CK990" s="51"/>
      <c r="CL990" s="51"/>
      <c r="CM990" s="51"/>
      <c r="CN990" s="51"/>
      <c r="CO990" s="51"/>
      <c r="CP990" s="51"/>
      <c r="CQ990" s="51"/>
      <c r="CR990" s="51"/>
      <c r="CS990" s="51"/>
      <c r="CT990" s="51"/>
      <c r="CU990" s="1"/>
      <c r="CV990" s="1"/>
      <c r="CW990" s="1"/>
      <c r="CX990" s="1"/>
      <c r="CY990" s="1"/>
      <c r="CZ990" s="1"/>
    </row>
    <row r="991" spans="1:104" ht="14.25" customHeight="1">
      <c r="A991" s="1"/>
      <c r="B991" s="2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51"/>
      <c r="BX991" s="51"/>
      <c r="BY991" s="51"/>
      <c r="BZ991" s="51"/>
      <c r="CA991" s="51"/>
      <c r="CB991" s="51"/>
      <c r="CC991" s="51"/>
      <c r="CD991" s="51"/>
      <c r="CE991" s="51"/>
      <c r="CF991" s="51"/>
      <c r="CG991" s="51"/>
      <c r="CH991" s="51"/>
      <c r="CI991" s="51"/>
      <c r="CJ991" s="51"/>
      <c r="CK991" s="51"/>
      <c r="CL991" s="51"/>
      <c r="CM991" s="51"/>
      <c r="CN991" s="51"/>
      <c r="CO991" s="51"/>
      <c r="CP991" s="51"/>
      <c r="CQ991" s="51"/>
      <c r="CR991" s="51"/>
      <c r="CS991" s="51"/>
      <c r="CT991" s="51"/>
      <c r="CU991" s="1"/>
      <c r="CV991" s="1"/>
      <c r="CW991" s="1"/>
      <c r="CX991" s="1"/>
      <c r="CY991" s="1"/>
      <c r="CZ991" s="1"/>
    </row>
    <row r="992" spans="1:104" ht="14.25" customHeight="1">
      <c r="A992" s="1"/>
      <c r="B992" s="2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51"/>
      <c r="BX992" s="51"/>
      <c r="BY992" s="51"/>
      <c r="BZ992" s="51"/>
      <c r="CA992" s="51"/>
      <c r="CB992" s="51"/>
      <c r="CC992" s="51"/>
      <c r="CD992" s="51"/>
      <c r="CE992" s="51"/>
      <c r="CF992" s="51"/>
      <c r="CG992" s="51"/>
      <c r="CH992" s="51"/>
      <c r="CI992" s="51"/>
      <c r="CJ992" s="51"/>
      <c r="CK992" s="51"/>
      <c r="CL992" s="51"/>
      <c r="CM992" s="51"/>
      <c r="CN992" s="51"/>
      <c r="CO992" s="51"/>
      <c r="CP992" s="51"/>
      <c r="CQ992" s="51"/>
      <c r="CR992" s="51"/>
      <c r="CS992" s="51"/>
      <c r="CT992" s="51"/>
      <c r="CU992" s="1"/>
      <c r="CV992" s="1"/>
      <c r="CW992" s="1"/>
      <c r="CX992" s="1"/>
      <c r="CY992" s="1"/>
      <c r="CZ992" s="1"/>
    </row>
    <row r="993" spans="1:104" ht="14.25" customHeight="1">
      <c r="A993" s="1"/>
      <c r="B993" s="2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51"/>
      <c r="BX993" s="51"/>
      <c r="BY993" s="51"/>
      <c r="BZ993" s="51"/>
      <c r="CA993" s="51"/>
      <c r="CB993" s="51"/>
      <c r="CC993" s="51"/>
      <c r="CD993" s="51"/>
      <c r="CE993" s="51"/>
      <c r="CF993" s="51"/>
      <c r="CG993" s="51"/>
      <c r="CH993" s="51"/>
      <c r="CI993" s="51"/>
      <c r="CJ993" s="51"/>
      <c r="CK993" s="51"/>
      <c r="CL993" s="51"/>
      <c r="CM993" s="51"/>
      <c r="CN993" s="51"/>
      <c r="CO993" s="51"/>
      <c r="CP993" s="51"/>
      <c r="CQ993" s="51"/>
      <c r="CR993" s="51"/>
      <c r="CS993" s="51"/>
      <c r="CT993" s="51"/>
      <c r="CU993" s="1"/>
      <c r="CV993" s="1"/>
      <c r="CW993" s="1"/>
      <c r="CX993" s="1"/>
      <c r="CY993" s="1"/>
      <c r="CZ993" s="1"/>
    </row>
    <row r="994" spans="1:104" ht="14.25" customHeight="1">
      <c r="A994" s="1"/>
      <c r="B994" s="2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51"/>
      <c r="BX994" s="51"/>
      <c r="BY994" s="51"/>
      <c r="BZ994" s="51"/>
      <c r="CA994" s="51"/>
      <c r="CB994" s="51"/>
      <c r="CC994" s="51"/>
      <c r="CD994" s="51"/>
      <c r="CE994" s="51"/>
      <c r="CF994" s="51"/>
      <c r="CG994" s="51"/>
      <c r="CH994" s="51"/>
      <c r="CI994" s="51"/>
      <c r="CJ994" s="51"/>
      <c r="CK994" s="51"/>
      <c r="CL994" s="51"/>
      <c r="CM994" s="51"/>
      <c r="CN994" s="51"/>
      <c r="CO994" s="51"/>
      <c r="CP994" s="51"/>
      <c r="CQ994" s="51"/>
      <c r="CR994" s="51"/>
      <c r="CS994" s="51"/>
      <c r="CT994" s="51"/>
      <c r="CU994" s="1"/>
      <c r="CV994" s="1"/>
      <c r="CW994" s="1"/>
      <c r="CX994" s="1"/>
      <c r="CY994" s="1"/>
      <c r="CZ994" s="1"/>
    </row>
    <row r="995" spans="1:104" ht="14.25" customHeight="1">
      <c r="A995" s="1"/>
      <c r="B995" s="2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51"/>
      <c r="BX995" s="51"/>
      <c r="BY995" s="51"/>
      <c r="BZ995" s="51"/>
      <c r="CA995" s="51"/>
      <c r="CB995" s="51"/>
      <c r="CC995" s="51"/>
      <c r="CD995" s="51"/>
      <c r="CE995" s="51"/>
      <c r="CF995" s="51"/>
      <c r="CG995" s="51"/>
      <c r="CH995" s="51"/>
      <c r="CI995" s="51"/>
      <c r="CJ995" s="51"/>
      <c r="CK995" s="51"/>
      <c r="CL995" s="51"/>
      <c r="CM995" s="51"/>
      <c r="CN995" s="51"/>
      <c r="CO995" s="51"/>
      <c r="CP995" s="51"/>
      <c r="CQ995" s="51"/>
      <c r="CR995" s="51"/>
      <c r="CS995" s="51"/>
      <c r="CT995" s="51"/>
      <c r="CU995" s="1"/>
      <c r="CV995" s="1"/>
      <c r="CW995" s="1"/>
      <c r="CX995" s="1"/>
      <c r="CY995" s="1"/>
      <c r="CZ995" s="1"/>
    </row>
    <row r="996" spans="1:104" ht="14.25" customHeight="1">
      <c r="A996" s="1"/>
      <c r="B996" s="2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1"/>
      <c r="CA996" s="51"/>
      <c r="CB996" s="51"/>
      <c r="CC996" s="51"/>
      <c r="CD996" s="51"/>
      <c r="CE996" s="51"/>
      <c r="CF996" s="51"/>
      <c r="CG996" s="51"/>
      <c r="CH996" s="51"/>
      <c r="CI996" s="51"/>
      <c r="CJ996" s="51"/>
      <c r="CK996" s="51"/>
      <c r="CL996" s="51"/>
      <c r="CM996" s="51"/>
      <c r="CN996" s="51"/>
      <c r="CO996" s="51"/>
      <c r="CP996" s="51"/>
      <c r="CQ996" s="51"/>
      <c r="CR996" s="51"/>
      <c r="CS996" s="51"/>
      <c r="CT996" s="51"/>
      <c r="CU996" s="1"/>
      <c r="CV996" s="1"/>
      <c r="CW996" s="1"/>
      <c r="CX996" s="1"/>
      <c r="CY996" s="1"/>
      <c r="CZ996" s="1"/>
    </row>
    <row r="997" spans="1:104" ht="14.25" customHeight="1">
      <c r="A997" s="1"/>
      <c r="B997" s="2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51"/>
      <c r="BX997" s="51"/>
      <c r="BY997" s="51"/>
      <c r="BZ997" s="51"/>
      <c r="CA997" s="51"/>
      <c r="CB997" s="51"/>
      <c r="CC997" s="51"/>
      <c r="CD997" s="51"/>
      <c r="CE997" s="51"/>
      <c r="CF997" s="51"/>
      <c r="CG997" s="51"/>
      <c r="CH997" s="51"/>
      <c r="CI997" s="51"/>
      <c r="CJ997" s="51"/>
      <c r="CK997" s="51"/>
      <c r="CL997" s="51"/>
      <c r="CM997" s="51"/>
      <c r="CN997" s="51"/>
      <c r="CO997" s="51"/>
      <c r="CP997" s="51"/>
      <c r="CQ997" s="51"/>
      <c r="CR997" s="51"/>
      <c r="CS997" s="51"/>
      <c r="CT997" s="51"/>
      <c r="CU997" s="1"/>
      <c r="CV997" s="1"/>
      <c r="CW997" s="1"/>
      <c r="CX997" s="1"/>
      <c r="CY997" s="1"/>
      <c r="CZ997" s="1"/>
    </row>
    <row r="998" spans="1:104" ht="14.25" customHeight="1">
      <c r="A998" s="1"/>
      <c r="B998" s="2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1"/>
      <c r="CA998" s="51"/>
      <c r="CB998" s="51"/>
      <c r="CC998" s="51"/>
      <c r="CD998" s="51"/>
      <c r="CE998" s="51"/>
      <c r="CF998" s="51"/>
      <c r="CG998" s="51"/>
      <c r="CH998" s="51"/>
      <c r="CI998" s="51"/>
      <c r="CJ998" s="51"/>
      <c r="CK998" s="51"/>
      <c r="CL998" s="51"/>
      <c r="CM998" s="51"/>
      <c r="CN998" s="51"/>
      <c r="CO998" s="51"/>
      <c r="CP998" s="51"/>
      <c r="CQ998" s="51"/>
      <c r="CR998" s="51"/>
      <c r="CS998" s="51"/>
      <c r="CT998" s="51"/>
      <c r="CU998" s="1"/>
      <c r="CV998" s="1"/>
      <c r="CW998" s="1"/>
      <c r="CX998" s="1"/>
      <c r="CY998" s="1"/>
      <c r="CZ998" s="1"/>
    </row>
    <row r="999" spans="1:104" ht="14.25" customHeight="1">
      <c r="A999" s="1"/>
      <c r="B999" s="2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51"/>
      <c r="BX999" s="51"/>
      <c r="BY999" s="51"/>
      <c r="BZ999" s="51"/>
      <c r="CA999" s="51"/>
      <c r="CB999" s="51"/>
      <c r="CC999" s="51"/>
      <c r="CD999" s="51"/>
      <c r="CE999" s="51"/>
      <c r="CF999" s="51"/>
      <c r="CG999" s="51"/>
      <c r="CH999" s="51"/>
      <c r="CI999" s="51"/>
      <c r="CJ999" s="51"/>
      <c r="CK999" s="51"/>
      <c r="CL999" s="51"/>
      <c r="CM999" s="51"/>
      <c r="CN999" s="51"/>
      <c r="CO999" s="51"/>
      <c r="CP999" s="51"/>
      <c r="CQ999" s="51"/>
      <c r="CR999" s="51"/>
      <c r="CS999" s="51"/>
      <c r="CT999" s="51"/>
      <c r="CU999" s="1"/>
      <c r="CV999" s="1"/>
      <c r="CW999" s="1"/>
      <c r="CX999" s="1"/>
      <c r="CY999" s="1"/>
      <c r="CZ999" s="1"/>
    </row>
    <row r="1000" spans="1:104" ht="14.25" customHeight="1">
      <c r="A1000" s="1"/>
      <c r="B1000" s="2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51"/>
      <c r="BX1000" s="51"/>
      <c r="BY1000" s="51"/>
      <c r="BZ1000" s="51"/>
      <c r="CA1000" s="51"/>
      <c r="CB1000" s="51"/>
      <c r="CC1000" s="51"/>
      <c r="CD1000" s="51"/>
      <c r="CE1000" s="51"/>
      <c r="CF1000" s="51"/>
      <c r="CG1000" s="51"/>
      <c r="CH1000" s="51"/>
      <c r="CI1000" s="51"/>
      <c r="CJ1000" s="51"/>
      <c r="CK1000" s="51"/>
      <c r="CL1000" s="51"/>
      <c r="CM1000" s="51"/>
      <c r="CN1000" s="51"/>
      <c r="CO1000" s="51"/>
      <c r="CP1000" s="51"/>
      <c r="CQ1000" s="51"/>
      <c r="CR1000" s="51"/>
      <c r="CS1000" s="51"/>
      <c r="CT1000" s="51"/>
      <c r="CU1000" s="1"/>
      <c r="CV1000" s="1"/>
      <c r="CW1000" s="1"/>
      <c r="CX1000" s="1"/>
      <c r="CY1000" s="1"/>
      <c r="CZ1000" s="1"/>
    </row>
  </sheetData>
  <mergeCells count="29">
    <mergeCell ref="BO10:BV10"/>
    <mergeCell ref="BW10:CC10"/>
    <mergeCell ref="CD10:CH10"/>
    <mergeCell ref="A8:B8"/>
    <mergeCell ref="H10:M10"/>
    <mergeCell ref="N10:W10"/>
    <mergeCell ref="X10:AG10"/>
    <mergeCell ref="AH10:AP10"/>
    <mergeCell ref="AQ10:AU10"/>
    <mergeCell ref="BE10:BN10"/>
    <mergeCell ref="CN14:CR14"/>
    <mergeCell ref="H15:W15"/>
    <mergeCell ref="X15:AF15"/>
    <mergeCell ref="AG15:AU15"/>
    <mergeCell ref="BE15:BT15"/>
    <mergeCell ref="BU15:CC15"/>
    <mergeCell ref="CD15:CR15"/>
    <mergeCell ref="AQ14:AU14"/>
    <mergeCell ref="BE14:BJ14"/>
    <mergeCell ref="BK14:BT14"/>
    <mergeCell ref="BU14:CC14"/>
    <mergeCell ref="CD14:CM14"/>
    <mergeCell ref="H11:W11"/>
    <mergeCell ref="X11:AG11"/>
    <mergeCell ref="AH11:AU11"/>
    <mergeCell ref="H14:M14"/>
    <mergeCell ref="N14:W14"/>
    <mergeCell ref="X14:AF14"/>
    <mergeCell ref="AG14:AP14"/>
  </mergeCells>
  <pageMargins left="0.511811024" right="0.511811024" top="0.78740157499999996" bottom="0.78740157499999996" header="0" footer="0"/>
  <pageSetup paperSize="9" fitToHeight="0" orientation="portrait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35.7109375" customWidth="1"/>
    <col min="2" max="3" width="20.7109375" customWidth="1"/>
    <col min="4" max="4" width="30.7109375" customWidth="1"/>
    <col min="5" max="5" width="35.7109375" customWidth="1"/>
    <col min="6" max="8" width="15.7109375" customWidth="1"/>
    <col min="9" max="9" width="25.42578125" customWidth="1"/>
    <col min="10" max="26" width="9.28515625" customWidth="1"/>
  </cols>
  <sheetData>
    <row r="1" spans="1:26" ht="24.75" customHeight="1">
      <c r="A1" s="112" t="s">
        <v>107</v>
      </c>
      <c r="B1" s="51"/>
      <c r="C1" s="51"/>
      <c r="D1" s="51"/>
      <c r="E1" s="51"/>
      <c r="F1" s="89" t="s">
        <v>108</v>
      </c>
      <c r="G1" s="113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4.75" customHeight="1">
      <c r="A2" s="51"/>
      <c r="B2" s="51"/>
      <c r="C2" s="51"/>
      <c r="D2" s="51"/>
      <c r="E2" s="51"/>
      <c r="F2" s="27"/>
      <c r="G2" s="27">
        <v>0.1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39.75" customHeight="1">
      <c r="A3" s="28" t="s">
        <v>109</v>
      </c>
      <c r="B3" s="28" t="s">
        <v>110</v>
      </c>
      <c r="C3" s="28" t="s">
        <v>111</v>
      </c>
      <c r="D3" s="28" t="s">
        <v>112</v>
      </c>
      <c r="E3" s="28" t="s">
        <v>113</v>
      </c>
      <c r="F3" s="29" t="s">
        <v>114</v>
      </c>
      <c r="G3" s="29" t="s">
        <v>115</v>
      </c>
      <c r="H3" s="29" t="s">
        <v>116</v>
      </c>
      <c r="I3" s="29" t="s">
        <v>117</v>
      </c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ht="24.75" customHeight="1">
      <c r="A4" s="30" t="s">
        <v>118</v>
      </c>
      <c r="B4" s="30"/>
      <c r="C4" s="30"/>
      <c r="D4" s="30"/>
      <c r="E4" s="30"/>
      <c r="F4" s="31">
        <v>2.9</v>
      </c>
      <c r="G4" s="31">
        <v>4</v>
      </c>
      <c r="H4" s="32">
        <f t="shared" ref="H4:H12" si="0">(F4*$F$2)+(G4*$G$2)</f>
        <v>0.4</v>
      </c>
      <c r="I4" s="33" t="e">
        <f>IF($H4&lt;=Referências!#REF!,Referências!#REF!,IF($H4&lt;=Referências!#REF!,Referências!#REF!,IF($H4&lt;=Referências!#REF!,Referências!#REF!,Referências!#REF!)))</f>
        <v>#REF!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24.75" customHeight="1">
      <c r="A5" s="30" t="s">
        <v>118</v>
      </c>
      <c r="B5" s="30"/>
      <c r="C5" s="30"/>
      <c r="D5" s="30"/>
      <c r="E5" s="30"/>
      <c r="F5" s="31">
        <v>3.2</v>
      </c>
      <c r="G5" s="31">
        <v>3.8</v>
      </c>
      <c r="H5" s="32">
        <f t="shared" si="0"/>
        <v>0.38</v>
      </c>
      <c r="I5" s="33" t="e">
        <f>IF($H5&lt;=Referências!#REF!,Referências!#REF!,IF($H5&lt;=Referências!#REF!,Referências!#REF!,IF($H5&lt;=Referências!#REF!,Referências!#REF!,Referências!#REF!)))</f>
        <v>#REF!</v>
      </c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24.75" customHeight="1">
      <c r="A6" s="30" t="s">
        <v>118</v>
      </c>
      <c r="B6" s="30"/>
      <c r="C6" s="30"/>
      <c r="D6" s="30"/>
      <c r="E6" s="30"/>
      <c r="F6" s="31">
        <v>4.2</v>
      </c>
      <c r="G6" s="31">
        <v>4.5</v>
      </c>
      <c r="H6" s="32">
        <f t="shared" si="0"/>
        <v>0.45</v>
      </c>
      <c r="I6" s="33" t="e">
        <f>IF($H6&lt;=Referências!#REF!,Referências!#REF!,IF($H6&lt;=Referências!#REF!,Referências!#REF!,IF($H6&lt;=Referências!#REF!,Referências!#REF!,Referências!#REF!)))</f>
        <v>#REF!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24.75" customHeight="1">
      <c r="A7" s="30" t="s">
        <v>118</v>
      </c>
      <c r="B7" s="30"/>
      <c r="C7" s="30"/>
      <c r="D7" s="30"/>
      <c r="E7" s="30"/>
      <c r="F7" s="31">
        <v>1.5</v>
      </c>
      <c r="G7" s="31">
        <v>2.8</v>
      </c>
      <c r="H7" s="32">
        <f t="shared" si="0"/>
        <v>0.27999999999999997</v>
      </c>
      <c r="I7" s="33" t="e">
        <f>IF($H7&lt;=Referências!#REF!,Referências!#REF!,IF($H7&lt;=Referências!#REF!,Referências!#REF!,IF($H7&lt;=Referências!#REF!,Referências!#REF!,Referências!#REF!)))</f>
        <v>#REF!</v>
      </c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24.75" customHeight="1">
      <c r="A8" s="30" t="s">
        <v>118</v>
      </c>
      <c r="B8" s="30"/>
      <c r="C8" s="30"/>
      <c r="D8" s="30"/>
      <c r="E8" s="30"/>
      <c r="F8" s="31">
        <v>2.8</v>
      </c>
      <c r="G8" s="31">
        <v>3.6</v>
      </c>
      <c r="H8" s="32">
        <f t="shared" si="0"/>
        <v>0.36000000000000004</v>
      </c>
      <c r="I8" s="33" t="e">
        <f>IF($H8&lt;=Referências!#REF!,Referências!#REF!,IF($H8&lt;=Referências!#REF!,Referências!#REF!,IF($H8&lt;=Referências!#REF!,Referências!#REF!,Referências!#REF!)))</f>
        <v>#REF!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24.75" customHeight="1">
      <c r="A9" s="30" t="s">
        <v>118</v>
      </c>
      <c r="B9" s="30"/>
      <c r="C9" s="30"/>
      <c r="D9" s="30"/>
      <c r="E9" s="30"/>
      <c r="F9" s="31">
        <v>3.6</v>
      </c>
      <c r="G9" s="31">
        <v>4</v>
      </c>
      <c r="H9" s="32">
        <f t="shared" si="0"/>
        <v>0.4</v>
      </c>
      <c r="I9" s="33" t="e">
        <f>IF($H9&lt;=Referências!#REF!,Referências!#REF!,IF($H9&lt;=Referências!#REF!,Referências!#REF!,IF($H9&lt;=Referências!#REF!,Referências!#REF!,Referências!#REF!)))</f>
        <v>#REF!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24.75" customHeight="1">
      <c r="A10" s="30" t="s">
        <v>118</v>
      </c>
      <c r="B10" s="30"/>
      <c r="C10" s="30"/>
      <c r="D10" s="30"/>
      <c r="E10" s="30"/>
      <c r="F10" s="31">
        <v>4</v>
      </c>
      <c r="G10" s="31">
        <v>4.0999999999999996</v>
      </c>
      <c r="H10" s="32">
        <f t="shared" si="0"/>
        <v>0.41</v>
      </c>
      <c r="I10" s="33" t="e">
        <f>IF($H10&lt;=Referências!#REF!,Referências!#REF!,IF($H10&lt;=Referências!#REF!,Referências!#REF!,IF($H10&lt;=Referências!#REF!,Referências!#REF!,Referências!#REF!)))</f>
        <v>#REF!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24.75" customHeight="1">
      <c r="A11" s="30" t="s">
        <v>118</v>
      </c>
      <c r="B11" s="30"/>
      <c r="C11" s="30"/>
      <c r="D11" s="30"/>
      <c r="E11" s="30"/>
      <c r="F11" s="31">
        <v>1.8</v>
      </c>
      <c r="G11" s="31">
        <v>2.2999999999999998</v>
      </c>
      <c r="H11" s="32">
        <f t="shared" si="0"/>
        <v>0.22999999999999998</v>
      </c>
      <c r="I11" s="33" t="e">
        <f>IF($H11&lt;=Referências!#REF!,Referências!#REF!,IF($H11&lt;=Referências!#REF!,Referências!#REF!,IF($H11&lt;=Referências!#REF!,Referências!#REF!,Referências!#REF!)))</f>
        <v>#REF!</v>
      </c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24.75" customHeight="1">
      <c r="A12" s="30" t="s">
        <v>118</v>
      </c>
      <c r="B12" s="30"/>
      <c r="C12" s="30"/>
      <c r="D12" s="30"/>
      <c r="E12" s="30"/>
      <c r="F12" s="31">
        <v>2.2999999999999998</v>
      </c>
      <c r="G12" s="31">
        <v>3.5</v>
      </c>
      <c r="H12" s="32">
        <f t="shared" si="0"/>
        <v>0.35000000000000003</v>
      </c>
      <c r="I12" s="33" t="e">
        <f>IF($H12&lt;=Referências!#REF!,Referências!#REF!,IF($H12&lt;=Referências!#REF!,Referências!#REF!,IF($H12&lt;=Referências!#REF!,Referências!#REF!,Referências!#REF!)))</f>
        <v>#REF!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24.75" customHeight="1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24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24.75" customHeight="1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24.75" customHeight="1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24.75" customHeight="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24.75" customHeight="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24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24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24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24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24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24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24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24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24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24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24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24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24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24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24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24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24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24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24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24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24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24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24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24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24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24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24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24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24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24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24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24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24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24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24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24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24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4.2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4.2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4.2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4.2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4.2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4.2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4.2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4.2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4.2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4.2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4.2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4.2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4.2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4.2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4.2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4.2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4.2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4.2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4.2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4.2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4.2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4.2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4.2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4.2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4.2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4.2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4.2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4.2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4.2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4.2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4.2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4.2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4.2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4.2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4.2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4.2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4.2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4.2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4.2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4.2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4.2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4.2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4.2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4.2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4.2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4.2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4.2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4.2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4.2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4.2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4.2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4.2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4.2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4.2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4.2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4.2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4.2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4.2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4.2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4.2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4.2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4.2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4.2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4.2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4.2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4.2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4.2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4.2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4.2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4.2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4.2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4.2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4.2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4.2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4.2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4.2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4.2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4.2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4.2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4.2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4.2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4.2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4.2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4.2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4.2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4.2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4.2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4.2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4.2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4.2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4.2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4.2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4.2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4.2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4.2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4.2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4.2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4.2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4.2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4.2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4.2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4.2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4.2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4.2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4.2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4.2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4.2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4.2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4.2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4.2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4.2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4.2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4.2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4.2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4.2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4.2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4.2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4.2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4.2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4.2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4.2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4.2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4.2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4.2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4.2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4.2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4.2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4.2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4.2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4.2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4.2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4.2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4.2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4.2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4.2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4.2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4.2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4.2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4.2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4.2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4.2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4.2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4.2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4.2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4.2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4.2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4.2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4.2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4.2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4.2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4.2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4.2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4.2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4.2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4.2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4.2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4.2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4.2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4.2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4.2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4.2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4.2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4.2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4.2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4.2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4.2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4.2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4.2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4.2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4.2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4.2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4.2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4.2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4.2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4.2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4.2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4.2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4.2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4.2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4.2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4.2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4.2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4.2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4.2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4.2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4.2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4.2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4.2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4.2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4.2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4.2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4.2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4.2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4.2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4.2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4.2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4.2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4.2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4.2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4.2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4.2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4.2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4.2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4.2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4.2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4.2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4.2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4.2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4.2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4.2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4.2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4.2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4.2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4.2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4.2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4.2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4.2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4.2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4.2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4.2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4.2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4.2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4.2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4.2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4.2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4.2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4.2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4.2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4.2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4.2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4.2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4.2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4.2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4.2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4.2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4.2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4.2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4.2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4.2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4.2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4.2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4.2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4.2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4.2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4.2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4.2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4.2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4.2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4.2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4.2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4.2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4.2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4.2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4.2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4.2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4.2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4.2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4.2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4.2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4.2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4.2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4.2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4.2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4.2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4.2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4.2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4.2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4.2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4.2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4.2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4.2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4.2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4.2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4.2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4.2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4.2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4.2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4.2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4.2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4.2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4.2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4.2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4.2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4.2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4.2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4.2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4.2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4.2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4.2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4.2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4.2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4.2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4.2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4.2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4.2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4.2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4.2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4.2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4.2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4.2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4.2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4.2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4.2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4.2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4.2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4.2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4.2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4.2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4.2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4.2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4.2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4.2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4.2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4.2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4.2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4.2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4.2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4.2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4.2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4.2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4.2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4.2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4.2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4.2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4.2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4.2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4.2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4.2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4.2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4.2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4.2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4.2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4.2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4.2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4.2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4.2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4.2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4.2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4.2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4.2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4.2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4.2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4.2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4.2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4.2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4.2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4.2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4.2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4.2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4.2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4.2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4.2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4.2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4.2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4.2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4.2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4.2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4.2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4.2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4.2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4.2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4.2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4.2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4.2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4.2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4.2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4.2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4.2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4.2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4.2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4.2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4.2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4.2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4.2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4.2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4.2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4.2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4.2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4.2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4.2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4.2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4.2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4.2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4.2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4.2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4.2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4.2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4.2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4.2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4.2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4.2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4.2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4.2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4.2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4.2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4.2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4.2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4.2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4.2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4.2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4.2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4.2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4.2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4.2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4.2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4.2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4.2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4.2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4.2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4.2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4.2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4.2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4.2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4.2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4.2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4.2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4.2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4.2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4.2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4.2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4.2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4.2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4.2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4.2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4.2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4.2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4.2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4.2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4.2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4.2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4.2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4.2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4.2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4.2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4.2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4.2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4.2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4.2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4.2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4.2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4.2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4.2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4.2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4.2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4.2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4.2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4.2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4.2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4.2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4.2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4.2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4.2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4.2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4.2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4.2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4.2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4.2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4.2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4.2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4.2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4.2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4.2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4.2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4.2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4.2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4.2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4.2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4.2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4.2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4.2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4.2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4.2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4.2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4.2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4.2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4.2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4.2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4.2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4.2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4.2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4.2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4.2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4.2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4.2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4.2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4.2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4.2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4.2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4.2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4.2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4.2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4.2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4.2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4.2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4.2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4.2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4.2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4.2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4.2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4.2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4.2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4.2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4.2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4.2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4.2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4.2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4.2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4.2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4.2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4.2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4.2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4.2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4.2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4.2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4.2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4.2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4.2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4.2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4.2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4.2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4.2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4.2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4.2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4.2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4.2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4.2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4.2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4.2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4.2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4.2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4.2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4.2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4.2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4.2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4.2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4.2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4.2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4.2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4.2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4.2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4.2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4.2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4.2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4.2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4.2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4.2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4.2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4.2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4.2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4.2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4.2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4.2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4.2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4.2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4.2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4.2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4.2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4.2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4.2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4.2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4.2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4.2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4.2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4.2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4.2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4.2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4.2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4.2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4.2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4.2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4.2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4.2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4.2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4.2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4.2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4.2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4.2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4.2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4.2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4.2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4.2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4.2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4.2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4.2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4.2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4.2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4.2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4.2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4.2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4.2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4.2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4.2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4.2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4.2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4.2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4.2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4.2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4.2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4.2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4.2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4.2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4.2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4.2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4.2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4.2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4.2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4.2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4.2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4.2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4.2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4.2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4.2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4.2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4.2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4.2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4.2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4.2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4.2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4.2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4.2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4.2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4.2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4.2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4.2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4.2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4.2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4.2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4.2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4.2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4.2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4.2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4.2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4.2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4.2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4.2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4.2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4.2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4.2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4.2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4.2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4.2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4.2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4.2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4.2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4.2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4.2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4.2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4.2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4.2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4.2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4.2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4.2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4.2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4.2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4.2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4.2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4.2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4.2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4.2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4.2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4.2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4.2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4.2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4.2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4.2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4.2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4.2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4.2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4.2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4.2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4.2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4.2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4.2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4.2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4.2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4.2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4.2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4.2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4.2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4.2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4.2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4.2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4.2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4.2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4.2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4.2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4.2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4.2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4.2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4.2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4.2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4.2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4.2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4.2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4.2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4.2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4.2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4.2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4.2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4.2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4.2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4.2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4.2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4.2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4.2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4.2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4.2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4.2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4.2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4.2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4.2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4.2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4.2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4.2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4.2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4.2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4.2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4.2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4.2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4.2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4.2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4.2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4.2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4.2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4.2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4.2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4.2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4.2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4.2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4.2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4.2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4.2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4.2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4.2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4.2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4.2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4.2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4.2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4.2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4.2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4.2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4.2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4.2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4.2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4.2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4.2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4.2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4.2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4.2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4.2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4.2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4.2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4.2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4.2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4.2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4.2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4.2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4.2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4.2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4.2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4.2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4.2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4.2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4.2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4.2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4.2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4.2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4.2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4.2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4.2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4.2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">
    <mergeCell ref="F1:G1"/>
  </mergeCells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DEE71538178E4485A7E96BCCAC7C8F" ma:contentTypeVersion="25" ma:contentTypeDescription="Crie um novo documento." ma:contentTypeScope="" ma:versionID="38519b3ab8d36bf4d5507decc849f139">
  <xsd:schema xmlns:xsd="http://www.w3.org/2001/XMLSchema" xmlns:xs="http://www.w3.org/2001/XMLSchema" xmlns:p="http://schemas.microsoft.com/office/2006/metadata/properties" xmlns:ns1="http://schemas.microsoft.com/sharepoint/v3" xmlns:ns2="2d6eb440-e3a3-43a0-adf0-1f0e6287ff54" xmlns:ns3="72105a99-54fe-4d72-820f-f08ea2cc21bd" targetNamespace="http://schemas.microsoft.com/office/2006/metadata/properties" ma:root="true" ma:fieldsID="b3f987d2856c02c5b33cd4ecabbebb1a" ns1:_="" ns2:_="" ns3:_="">
    <xsd:import namespace="http://schemas.microsoft.com/sharepoint/v3"/>
    <xsd:import namespace="2d6eb440-e3a3-43a0-adf0-1f0e6287ff54"/>
    <xsd:import namespace="72105a99-54fe-4d72-820f-f08ea2cc2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Formul_x00e1_riodeSolicita_x00e7__x00e3_odeAux_x00ed_lioEducacional" minOccurs="0"/>
                <xsd:element ref="ns3:ReciboouDeclara_x00e7__x00e3_o" minOccurs="0"/>
                <xsd:element ref="ns3:DocumentoComprobat_x00f3_riodaAssinatura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eb440-e3a3-43a0-adf0-1f0e6287ff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54e61124-0bc5-4cf7-b350-1b799a44508b}" ma:internalName="TaxCatchAll" ma:showField="CatchAllData" ma:web="2d6eb440-e3a3-43a0-adf0-1f0e6287ff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05a99-54fe-4d72-820f-f08ea2cc2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d7d8c6-00a5-433c-b92c-21431b1ce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ul_x00e1_riodeSolicita_x00e7__x00e3_odeAux_x00ed_lioEducacional" ma:index="27" nillable="true" ma:displayName="Formulário de Solicitação de Auxílio Educacional " ma:description="Prestador Jurídico (Ex: Amazon,Udemy) e Prestador Físico (Ex: Professor Idiomas)" ma:format="Dropdown" ma:internalName="Formul_x00e1_riodeSolicita_x00e7__x00e3_odeAux_x00ed_lioEducacional">
      <xsd:simpleType>
        <xsd:restriction base="dms:Text">
          <xsd:maxLength value="255"/>
        </xsd:restriction>
      </xsd:simpleType>
    </xsd:element>
    <xsd:element name="ReciboouDeclara_x00e7__x00e3_o" ma:index="28" nillable="true" ma:displayName="Recibo ou Declaração" ma:format="Dropdown" ma:internalName="ReciboouDeclara_x00e7__x00e3_o">
      <xsd:simpleType>
        <xsd:restriction base="dms:Text">
          <xsd:maxLength value="255"/>
        </xsd:restriction>
      </xsd:simpleType>
    </xsd:element>
    <xsd:element name="DocumentoComprobat_x00f3_riodaAssinatura" ma:index="29" nillable="true" ma:displayName="Documento Comprobatório da Assinatura" ma:format="Dropdown" ma:internalName="DocumentoComprobat_x00f3_riodaAssinatura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105a99-54fe-4d72-820f-f08ea2cc21bd">
      <Terms xmlns="http://schemas.microsoft.com/office/infopath/2007/PartnerControls"/>
    </lcf76f155ced4ddcb4097134ff3c332f>
    <ReciboouDeclara_x00e7__x00e3_o xmlns="72105a99-54fe-4d72-820f-f08ea2cc21bd" xsi:nil="true"/>
    <_Flow_SignoffStatus xmlns="72105a99-54fe-4d72-820f-f08ea2cc21bd" xsi:nil="true"/>
    <_ip_UnifiedCompliancePolicyProperties xmlns="http://schemas.microsoft.com/sharepoint/v3" xsi:nil="true"/>
    <TaxCatchAll xmlns="2d6eb440-e3a3-43a0-adf0-1f0e6287ff54" xsi:nil="true"/>
    <Formul_x00e1_riodeSolicita_x00e7__x00e3_odeAux_x00ed_lioEducacional xmlns="72105a99-54fe-4d72-820f-f08ea2cc21bd" xsi:nil="true"/>
    <DocumentoComprobat_x00f3_riodaAssinatura xmlns="72105a99-54fe-4d72-820f-f08ea2cc21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F43DF6-445E-443A-98C5-F04A49D4A132}"/>
</file>

<file path=customXml/itemProps2.xml><?xml version="1.0" encoding="utf-8"?>
<ds:datastoreItem xmlns:ds="http://schemas.openxmlformats.org/officeDocument/2006/customXml" ds:itemID="{E329CAAA-3DD9-4B44-B668-79076C8295FF}"/>
</file>

<file path=customXml/itemProps3.xml><?xml version="1.0" encoding="utf-8"?>
<ds:datastoreItem xmlns:ds="http://schemas.openxmlformats.org/officeDocument/2006/customXml" ds:itemID="{B35EC593-3854-480F-9744-2F766C6CD1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Vitoria Vilela de Oliveira</cp:lastModifiedBy>
  <cp:revision/>
  <dcterms:created xsi:type="dcterms:W3CDTF">2022-08-30T11:17:21Z</dcterms:created>
  <dcterms:modified xsi:type="dcterms:W3CDTF">2026-04-23T13:26:31Z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0x0101009EDEE71538178E4485A7E96BCCAC7C8F</vt:lpwstr>
  </property>
  <property fmtid="{D5CDD505-2E9C-101B-9397-08002B2CF9AE}" pid="3" name="MediaServiceImageTags">
    <vt:lpwstr/>
  </property>
</Properties>
</file>