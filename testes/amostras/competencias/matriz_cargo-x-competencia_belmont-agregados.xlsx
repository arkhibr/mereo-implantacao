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mereo07.sharepoint.com/sites/MereoFilesCenter/Documentos Compartilhados/Sucesso do Cliente/4 - Carteira de clientes Mereo/Grupo Belmont/GC/Enviado pelo cliente/"/>
    </mc:Choice>
  </mc:AlternateContent>
  <xr:revisionPtr revIDLastSave="6" documentId="8_{BE891B8B-3F7A-4BEE-B854-6F9D9CE360C3}" xr6:coauthVersionLast="47" xr6:coauthVersionMax="47" xr10:uidLastSave="{C1CD45BA-970D-4169-A024-A6E528EC4298}"/>
  <bookViews>
    <workbookView minimized="1" xWindow="2595" yWindow="1035" windowWidth="17835" windowHeight="10920" firstSheet="1" activeTab="4" xr2:uid="{00000000-000D-0000-FFFF-FFFF00000000}"/>
  </bookViews>
  <sheets>
    <sheet name="Agregados Agro" sheetId="1" r:id="rId1"/>
    <sheet name="Operacional" sheetId="3" r:id="rId2"/>
    <sheet name="Técnico Administrativo" sheetId="25" r:id="rId3"/>
    <sheet name="Encarregado" sheetId="26" r:id="rId4"/>
    <sheet name="Supervisor e Gerente" sheetId="27" r:id="rId5"/>
    <sheet name="Diretor" sheetId="28" r:id="rId6"/>
    <sheet name="Referências" sheetId="5" r:id="rId7"/>
    <sheet name="Resultado" sheetId="6" state="hidden" r:id="rId8"/>
  </sheets>
  <externalReferences>
    <externalReference r:id="rId9"/>
  </externalReferences>
  <definedNames>
    <definedName name="_DAT1" localSheetId="0">#REF!</definedName>
    <definedName name="_DAT1" localSheetId="6">#REF!</definedName>
    <definedName name="_DAT1">#REF!</definedName>
    <definedName name="_DAT10" localSheetId="6">#REF!</definedName>
    <definedName name="_DAT10">#REF!</definedName>
    <definedName name="_dat105" localSheetId="6">#REF!</definedName>
    <definedName name="_dat105">#REF!</definedName>
    <definedName name="_DAT11" localSheetId="6">#REF!</definedName>
    <definedName name="_DAT11">#REF!</definedName>
    <definedName name="_DAT12" localSheetId="6">#REF!</definedName>
    <definedName name="_DAT12">#REF!</definedName>
    <definedName name="_DAT13" localSheetId="6">#REF!</definedName>
    <definedName name="_DAT13">#REF!</definedName>
    <definedName name="_DAT14" localSheetId="6">#REF!</definedName>
    <definedName name="_DAT14">#REF!</definedName>
    <definedName name="_DAT15" localSheetId="6">#REF!</definedName>
    <definedName name="_DAT15">#REF!</definedName>
    <definedName name="_DAT16" localSheetId="6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19" localSheetId="6">#REF!</definedName>
    <definedName name="_DAT19">#REF!</definedName>
    <definedName name="_DAT2" localSheetId="6">#REF!</definedName>
    <definedName name="_DAT2">#REF!</definedName>
    <definedName name="_DAT20" localSheetId="6">#REF!</definedName>
    <definedName name="_DAT20">#REF!</definedName>
    <definedName name="_DAT3" localSheetId="6">#REF!</definedName>
    <definedName name="_DAT3">#REF!</definedName>
    <definedName name="_DAT4" localSheetId="6">#REF!</definedName>
    <definedName name="_DAT4">#REF!</definedName>
    <definedName name="_DAT5" localSheetId="6">#REF!</definedName>
    <definedName name="_DAT5">#REF!</definedName>
    <definedName name="_DAT6" localSheetId="6">#REF!</definedName>
    <definedName name="_DAT6">#REF!</definedName>
    <definedName name="_DAT7" localSheetId="6">#REF!</definedName>
    <definedName name="_DAT7">#REF!</definedName>
    <definedName name="_DAT8" localSheetId="6">#REF!</definedName>
    <definedName name="_DAT8">#REF!</definedName>
    <definedName name="_DAT9" localSheetId="6">#REF!</definedName>
    <definedName name="_DAT9">#REF!</definedName>
    <definedName name="ACUMULACAO" localSheetId="6">#REF!</definedName>
    <definedName name="ACUMULACAO">#REF!</definedName>
    <definedName name="Administrativo" localSheetId="6">#REF!</definedName>
    <definedName name="Administrativo">#REF!</definedName>
    <definedName name="Format2Print">#REF!</definedName>
    <definedName name="IDCARGO" localSheetId="0">#REF!</definedName>
    <definedName name="IDCARGO" localSheetId="6">#REF!</definedName>
    <definedName name="IDCARGO">#REF!</definedName>
    <definedName name="NP" localSheetId="6">#REF!</definedName>
    <definedName name="NP">#REF!</definedName>
    <definedName name="QP" localSheetId="6">#REF!</definedName>
    <definedName name="QP">#REF!</definedName>
    <definedName name="TABMOL" localSheetId="6">#REF!</definedName>
    <definedName name="TABMOL">#REF!</definedName>
    <definedName name="TEST1" localSheetId="6">#REF!</definedName>
    <definedName name="TEST1">#REF!</definedName>
    <definedName name="TEST2" localSheetId="6">#REF!</definedName>
    <definedName name="TEST2">#REF!</definedName>
    <definedName name="TEST3" localSheetId="6">#REF!</definedName>
    <definedName name="TEST3">#REF!</definedName>
    <definedName name="TEST4" localSheetId="6">#REF!</definedName>
    <definedName name="TEST4">#REF!</definedName>
    <definedName name="TEST5" localSheetId="6">#REF!</definedName>
    <definedName name="TEST5">#REF!</definedName>
    <definedName name="TEST6" localSheetId="6">#REF!</definedName>
    <definedName name="TEST6">#REF!</definedName>
    <definedName name="TESTHKEY" localSheetId="6">#REF!</definedName>
    <definedName name="TESTHKEY">#REF!</definedName>
    <definedName name="TESTKEYS" localSheetId="6">#REF!</definedName>
    <definedName name="TESTKEYS">#REF!</definedName>
    <definedName name="TESTVKEY" localSheetId="6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5hbd9k6xd8y6rPdBcU+YQUsF+7CQNqNZIP5pyAMhZI0="/>
    </ext>
  </extLst>
</workbook>
</file>

<file path=xl/calcChain.xml><?xml version="1.0" encoding="utf-8"?>
<calcChain xmlns="http://schemas.openxmlformats.org/spreadsheetml/2006/main">
  <c r="A21" i="3" l="1"/>
  <c r="E3" i="28"/>
  <c r="D3" i="28"/>
  <c r="E3" i="26"/>
  <c r="D3" i="26"/>
  <c r="E3" i="25"/>
  <c r="D3" i="25"/>
  <c r="A45" i="25" l="1"/>
  <c r="C47" i="25" s="1"/>
  <c r="A37" i="25"/>
  <c r="C39" i="25" s="1"/>
  <c r="A29" i="25"/>
  <c r="C31" i="25" s="1"/>
  <c r="A21" i="25"/>
  <c r="C23" i="25" s="1"/>
  <c r="A13" i="25"/>
  <c r="C15" i="25" s="1"/>
  <c r="A5" i="25"/>
  <c r="C7" i="25" s="1"/>
  <c r="C15" i="28"/>
  <c r="A53" i="28"/>
  <c r="C55" i="28" s="1"/>
  <c r="A45" i="28"/>
  <c r="C47" i="28" s="1"/>
  <c r="A37" i="28"/>
  <c r="C39" i="28" s="1"/>
  <c r="A29" i="28"/>
  <c r="C31" i="28" s="1"/>
  <c r="A21" i="28"/>
  <c r="C23" i="28" s="1"/>
  <c r="A13" i="28"/>
  <c r="A5" i="28"/>
  <c r="C7" i="28" s="1"/>
  <c r="D59" i="28"/>
  <c r="E59" i="28" s="1"/>
  <c r="C59" i="28"/>
  <c r="D58" i="28"/>
  <c r="C58" i="28"/>
  <c r="E58" i="28" s="1"/>
  <c r="D57" i="28"/>
  <c r="C57" i="28"/>
  <c r="D56" i="28"/>
  <c r="C56" i="28"/>
  <c r="E56" i="28" s="1"/>
  <c r="D55" i="28"/>
  <c r="D51" i="28"/>
  <c r="C51" i="28"/>
  <c r="E51" i="28" s="1"/>
  <c r="D50" i="28"/>
  <c r="C50" i="28"/>
  <c r="D49" i="28"/>
  <c r="C49" i="28"/>
  <c r="E49" i="28" s="1"/>
  <c r="D48" i="28"/>
  <c r="C48" i="28"/>
  <c r="D47" i="28"/>
  <c r="D43" i="28"/>
  <c r="C43" i="28"/>
  <c r="D42" i="28"/>
  <c r="C42" i="28"/>
  <c r="E42" i="28" s="1"/>
  <c r="D41" i="28"/>
  <c r="E41" i="28" s="1"/>
  <c r="C41" i="28"/>
  <c r="D40" i="28"/>
  <c r="C40" i="28"/>
  <c r="E40" i="28" s="1"/>
  <c r="D39" i="28"/>
  <c r="D35" i="28"/>
  <c r="C35" i="28"/>
  <c r="E35" i="28" s="1"/>
  <c r="D34" i="28"/>
  <c r="C34" i="28"/>
  <c r="D33" i="28"/>
  <c r="C33" i="28"/>
  <c r="E33" i="28" s="1"/>
  <c r="D32" i="28"/>
  <c r="E32" i="28" s="1"/>
  <c r="C32" i="28"/>
  <c r="D31" i="28"/>
  <c r="D27" i="28"/>
  <c r="E27" i="28" s="1"/>
  <c r="C27" i="28"/>
  <c r="D26" i="28"/>
  <c r="C26" i="28"/>
  <c r="E26" i="28" s="1"/>
  <c r="D25" i="28"/>
  <c r="C25" i="28"/>
  <c r="D24" i="28"/>
  <c r="C24" i="28"/>
  <c r="E24" i="28" s="1"/>
  <c r="D23" i="28"/>
  <c r="D19" i="28"/>
  <c r="C19" i="28"/>
  <c r="E19" i="28" s="1"/>
  <c r="D18" i="28"/>
  <c r="E18" i="28" s="1"/>
  <c r="C18" i="28"/>
  <c r="D17" i="28"/>
  <c r="C17" i="28"/>
  <c r="E17" i="28" s="1"/>
  <c r="D16" i="28"/>
  <c r="C16" i="28"/>
  <c r="D15" i="28"/>
  <c r="D11" i="28"/>
  <c r="C11" i="28"/>
  <c r="D10" i="28"/>
  <c r="C10" i="28"/>
  <c r="E10" i="28" s="1"/>
  <c r="D9" i="28"/>
  <c r="E9" i="28" s="1"/>
  <c r="C9" i="28"/>
  <c r="D8" i="28"/>
  <c r="C8" i="28"/>
  <c r="E8" i="28" s="1"/>
  <c r="C47" i="27"/>
  <c r="A45" i="27"/>
  <c r="A37" i="27"/>
  <c r="C39" i="27" s="1"/>
  <c r="A29" i="27"/>
  <c r="C31" i="27" s="1"/>
  <c r="A21" i="27"/>
  <c r="C23" i="27" s="1"/>
  <c r="A13" i="27"/>
  <c r="C15" i="27" s="1"/>
  <c r="A5" i="27"/>
  <c r="C7" i="27" s="1"/>
  <c r="D51" i="27"/>
  <c r="C51" i="27"/>
  <c r="D50" i="27"/>
  <c r="C50" i="27"/>
  <c r="E50" i="27" s="1"/>
  <c r="D49" i="27"/>
  <c r="C49" i="27"/>
  <c r="E49" i="27" s="1"/>
  <c r="D48" i="27"/>
  <c r="C48" i="27"/>
  <c r="E48" i="27" s="1"/>
  <c r="D47" i="27"/>
  <c r="D43" i="27"/>
  <c r="C43" i="27"/>
  <c r="E43" i="27" s="1"/>
  <c r="D42" i="27"/>
  <c r="C42" i="27"/>
  <c r="D41" i="27"/>
  <c r="C41" i="27"/>
  <c r="E41" i="27" s="1"/>
  <c r="D40" i="27"/>
  <c r="C40" i="27"/>
  <c r="E40" i="27" s="1"/>
  <c r="D39" i="27"/>
  <c r="D35" i="27"/>
  <c r="C35" i="27"/>
  <c r="D34" i="27"/>
  <c r="C34" i="27"/>
  <c r="E34" i="27" s="1"/>
  <c r="D33" i="27"/>
  <c r="C33" i="27"/>
  <c r="D32" i="27"/>
  <c r="C32" i="27"/>
  <c r="E32" i="27" s="1"/>
  <c r="D31" i="27"/>
  <c r="D27" i="27"/>
  <c r="C27" i="27"/>
  <c r="E27" i="27" s="1"/>
  <c r="D26" i="27"/>
  <c r="C26" i="27"/>
  <c r="E26" i="27" s="1"/>
  <c r="D25" i="27"/>
  <c r="C25" i="27"/>
  <c r="E25" i="27" s="1"/>
  <c r="D24" i="27"/>
  <c r="E24" i="27" s="1"/>
  <c r="C24" i="27"/>
  <c r="D23" i="27"/>
  <c r="D19" i="27"/>
  <c r="C19" i="27"/>
  <c r="E19" i="27" s="1"/>
  <c r="D18" i="27"/>
  <c r="C18" i="27"/>
  <c r="E18" i="27" s="1"/>
  <c r="D17" i="27"/>
  <c r="E17" i="27" s="1"/>
  <c r="C17" i="27"/>
  <c r="E16" i="27"/>
  <c r="D16" i="27"/>
  <c r="C16" i="27"/>
  <c r="D15" i="27"/>
  <c r="D11" i="27"/>
  <c r="C11" i="27"/>
  <c r="D10" i="27"/>
  <c r="C10" i="27"/>
  <c r="D9" i="27"/>
  <c r="C9" i="27"/>
  <c r="E8" i="27"/>
  <c r="D8" i="27"/>
  <c r="C8" i="27"/>
  <c r="C31" i="26"/>
  <c r="A45" i="26"/>
  <c r="C47" i="26" s="1"/>
  <c r="A37" i="26"/>
  <c r="C39" i="26" s="1"/>
  <c r="A29" i="26"/>
  <c r="A21" i="26"/>
  <c r="C23" i="26" s="1"/>
  <c r="A13" i="26"/>
  <c r="C15" i="26" s="1"/>
  <c r="A5" i="26"/>
  <c r="C7" i="26" s="1"/>
  <c r="G13" i="1"/>
  <c r="D51" i="26"/>
  <c r="C51" i="26"/>
  <c r="D50" i="26"/>
  <c r="C50" i="26"/>
  <c r="D49" i="26"/>
  <c r="C49" i="26"/>
  <c r="D48" i="26"/>
  <c r="C48" i="26"/>
  <c r="D47" i="26"/>
  <c r="D43" i="26"/>
  <c r="C43" i="26"/>
  <c r="D42" i="26"/>
  <c r="C42" i="26"/>
  <c r="D41" i="26"/>
  <c r="C41" i="26"/>
  <c r="D40" i="26"/>
  <c r="C40" i="26"/>
  <c r="D39" i="26"/>
  <c r="D35" i="26"/>
  <c r="C35" i="26"/>
  <c r="D34" i="26"/>
  <c r="C34" i="26"/>
  <c r="D33" i="26"/>
  <c r="C33" i="26"/>
  <c r="D32" i="26"/>
  <c r="C32" i="26"/>
  <c r="D31" i="26"/>
  <c r="D27" i="26"/>
  <c r="C27" i="26"/>
  <c r="D26" i="26"/>
  <c r="C26" i="26"/>
  <c r="D25" i="26"/>
  <c r="C25" i="26"/>
  <c r="D24" i="26"/>
  <c r="C24" i="26"/>
  <c r="D23" i="26"/>
  <c r="D19" i="26"/>
  <c r="C19" i="26"/>
  <c r="D18" i="26"/>
  <c r="C18" i="26"/>
  <c r="D17" i="26"/>
  <c r="C17" i="26"/>
  <c r="D16" i="26"/>
  <c r="C16" i="26"/>
  <c r="D15" i="26"/>
  <c r="D11" i="26"/>
  <c r="C11" i="26"/>
  <c r="D10" i="26"/>
  <c r="C10" i="26"/>
  <c r="D9" i="26"/>
  <c r="C9" i="26"/>
  <c r="D8" i="26"/>
  <c r="C8" i="26"/>
  <c r="K13" i="1"/>
  <c r="D51" i="25"/>
  <c r="C51" i="25"/>
  <c r="E51" i="25" s="1"/>
  <c r="D50" i="25"/>
  <c r="C50" i="25"/>
  <c r="E50" i="25" s="1"/>
  <c r="D49" i="25"/>
  <c r="C49" i="25"/>
  <c r="D48" i="25"/>
  <c r="C48" i="25"/>
  <c r="D47" i="25"/>
  <c r="D43" i="25"/>
  <c r="C43" i="25"/>
  <c r="D42" i="25"/>
  <c r="C42" i="25"/>
  <c r="D41" i="25"/>
  <c r="C41" i="25"/>
  <c r="E41" i="25" s="1"/>
  <c r="D40" i="25"/>
  <c r="C40" i="25"/>
  <c r="D39" i="25"/>
  <c r="D35" i="25"/>
  <c r="C35" i="25"/>
  <c r="D34" i="25"/>
  <c r="C34" i="25"/>
  <c r="E34" i="25" s="1"/>
  <c r="D33" i="25"/>
  <c r="C33" i="25"/>
  <c r="E33" i="25" s="1"/>
  <c r="D32" i="25"/>
  <c r="C32" i="25"/>
  <c r="E32" i="25" s="1"/>
  <c r="D31" i="25"/>
  <c r="D27" i="25"/>
  <c r="C27" i="25"/>
  <c r="D26" i="25"/>
  <c r="C26" i="25"/>
  <c r="D25" i="25"/>
  <c r="C25" i="25"/>
  <c r="D24" i="25"/>
  <c r="C24" i="25"/>
  <c r="D23" i="25"/>
  <c r="D19" i="25"/>
  <c r="C19" i="25"/>
  <c r="E19" i="25" s="1"/>
  <c r="D18" i="25"/>
  <c r="C18" i="25"/>
  <c r="E18" i="25" s="1"/>
  <c r="D17" i="25"/>
  <c r="C17" i="25"/>
  <c r="D16" i="25"/>
  <c r="C16" i="25"/>
  <c r="E16" i="25" s="1"/>
  <c r="D15" i="25"/>
  <c r="D11" i="25"/>
  <c r="C11" i="25"/>
  <c r="E11" i="25" s="1"/>
  <c r="D10" i="25"/>
  <c r="C10" i="25"/>
  <c r="D9" i="25"/>
  <c r="C9" i="25"/>
  <c r="E9" i="25" s="1"/>
  <c r="D8" i="25"/>
  <c r="E8" i="25" s="1"/>
  <c r="C8" i="25"/>
  <c r="E50" i="28" l="1"/>
  <c r="E16" i="28"/>
  <c r="E48" i="28"/>
  <c r="E52" i="28" s="1"/>
  <c r="E47" i="28" s="1"/>
  <c r="E12" i="28"/>
  <c r="E7" i="28" s="1"/>
  <c r="E11" i="28"/>
  <c r="E25" i="28"/>
  <c r="E28" i="28" s="1"/>
  <c r="E23" i="28" s="1"/>
  <c r="E34" i="28"/>
  <c r="E36" i="28" s="1"/>
  <c r="E31" i="28" s="1"/>
  <c r="E43" i="28"/>
  <c r="E44" i="28" s="1"/>
  <c r="E39" i="28" s="1"/>
  <c r="E57" i="28"/>
  <c r="E11" i="27"/>
  <c r="E16" i="26"/>
  <c r="E18" i="26"/>
  <c r="E48" i="26"/>
  <c r="E50" i="26"/>
  <c r="E9" i="26"/>
  <c r="E11" i="26"/>
  <c r="E40" i="25"/>
  <c r="E26" i="25"/>
  <c r="E10" i="25"/>
  <c r="E12" i="25" s="1"/>
  <c r="E7" i="25" s="1"/>
  <c r="E17" i="25"/>
  <c r="E25" i="25"/>
  <c r="E27" i="25"/>
  <c r="E42" i="25"/>
  <c r="E49" i="25"/>
  <c r="E48" i="25"/>
  <c r="E35" i="25"/>
  <c r="E36" i="25" s="1"/>
  <c r="E31" i="25" s="1"/>
  <c r="E24" i="25"/>
  <c r="E43" i="25"/>
  <c r="E60" i="28"/>
  <c r="E55" i="28" s="1"/>
  <c r="E20" i="28"/>
  <c r="E15" i="28" s="1"/>
  <c r="D3" i="27"/>
  <c r="E9" i="27"/>
  <c r="E51" i="27"/>
  <c r="E52" i="27" s="1"/>
  <c r="E47" i="27" s="1"/>
  <c r="E10" i="27"/>
  <c r="E33" i="27"/>
  <c r="E36" i="27" s="1"/>
  <c r="E31" i="27" s="1"/>
  <c r="E35" i="27"/>
  <c r="E42" i="27"/>
  <c r="E44" i="27" s="1"/>
  <c r="E39" i="27" s="1"/>
  <c r="E12" i="27"/>
  <c r="E7" i="27" s="1"/>
  <c r="E20" i="27"/>
  <c r="E15" i="27" s="1"/>
  <c r="E28" i="27"/>
  <c r="E23" i="27" s="1"/>
  <c r="E19" i="26"/>
  <c r="E32" i="26"/>
  <c r="E34" i="26"/>
  <c r="E41" i="26"/>
  <c r="E43" i="26"/>
  <c r="E42" i="26"/>
  <c r="E8" i="26"/>
  <c r="E25" i="26"/>
  <c r="E27" i="26"/>
  <c r="E49" i="26"/>
  <c r="E51" i="26"/>
  <c r="E10" i="26"/>
  <c r="E17" i="26"/>
  <c r="E20" i="26" s="1"/>
  <c r="E15" i="26" s="1"/>
  <c r="E24" i="26"/>
  <c r="E26" i="26"/>
  <c r="E33" i="26"/>
  <c r="E35" i="26"/>
  <c r="E40" i="26"/>
  <c r="E20" i="25"/>
  <c r="E15" i="25" s="1"/>
  <c r="E44" i="25"/>
  <c r="E39" i="25" s="1"/>
  <c r="A37" i="3"/>
  <c r="A29" i="3"/>
  <c r="A13" i="3"/>
  <c r="A5" i="3"/>
  <c r="C7" i="3" s="1"/>
  <c r="E28" i="26" l="1"/>
  <c r="E23" i="26" s="1"/>
  <c r="E52" i="26"/>
  <c r="E47" i="26" s="1"/>
  <c r="E36" i="26"/>
  <c r="E31" i="26" s="1"/>
  <c r="E28" i="25"/>
  <c r="E23" i="25" s="1"/>
  <c r="E52" i="25"/>
  <c r="E47" i="25" s="1"/>
  <c r="D5" i="28"/>
  <c r="D5" i="25"/>
  <c r="E3" i="27"/>
  <c r="D5" i="27" s="1"/>
  <c r="E44" i="26"/>
  <c r="E39" i="26" s="1"/>
  <c r="E12" i="26"/>
  <c r="E7" i="26" s="1"/>
  <c r="C15" i="3"/>
  <c r="C39" i="3"/>
  <c r="C31" i="3"/>
  <c r="C23" i="3"/>
  <c r="D3" i="3" s="1"/>
  <c r="D5" i="26" l="1"/>
  <c r="I13" i="1"/>
  <c r="E13" i="1"/>
  <c r="C13" i="1"/>
  <c r="I12" i="6" l="1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B13" i="5"/>
  <c r="D43" i="3"/>
  <c r="C43" i="3"/>
  <c r="D42" i="3"/>
  <c r="C42" i="3"/>
  <c r="D41" i="3"/>
  <c r="C41" i="3"/>
  <c r="D40" i="3"/>
  <c r="C40" i="3"/>
  <c r="D39" i="3"/>
  <c r="D35" i="3"/>
  <c r="C35" i="3"/>
  <c r="D34" i="3"/>
  <c r="C34" i="3"/>
  <c r="D33" i="3"/>
  <c r="C33" i="3"/>
  <c r="E33" i="3" s="1"/>
  <c r="D32" i="3"/>
  <c r="C32" i="3"/>
  <c r="D31" i="3"/>
  <c r="D27" i="3"/>
  <c r="C27" i="3"/>
  <c r="D26" i="3"/>
  <c r="C26" i="3"/>
  <c r="D25" i="3"/>
  <c r="C25" i="3"/>
  <c r="D24" i="3"/>
  <c r="C24" i="3"/>
  <c r="D23" i="3"/>
  <c r="D19" i="3"/>
  <c r="C19" i="3"/>
  <c r="D18" i="3"/>
  <c r="C18" i="3"/>
  <c r="E18" i="3" s="1"/>
  <c r="D17" i="3"/>
  <c r="C17" i="3"/>
  <c r="D16" i="3"/>
  <c r="C16" i="3"/>
  <c r="E16" i="3" s="1"/>
  <c r="D15" i="3"/>
  <c r="D11" i="3"/>
  <c r="C11" i="3"/>
  <c r="D10" i="3"/>
  <c r="C10" i="3"/>
  <c r="D9" i="3"/>
  <c r="C9" i="3"/>
  <c r="D8" i="3"/>
  <c r="C8" i="3"/>
  <c r="E17" i="3" l="1"/>
  <c r="E19" i="3"/>
  <c r="E32" i="3"/>
  <c r="E34" i="3"/>
  <c r="E9" i="3"/>
  <c r="E41" i="3"/>
  <c r="E43" i="3"/>
  <c r="E8" i="3"/>
  <c r="E10" i="3"/>
  <c r="E25" i="3"/>
  <c r="E27" i="3"/>
  <c r="E40" i="3"/>
  <c r="E42" i="3"/>
  <c r="E11" i="3"/>
  <c r="E24" i="3"/>
  <c r="E26" i="3"/>
  <c r="E35" i="3"/>
  <c r="E20" i="3"/>
  <c r="E15" i="3" s="1"/>
  <c r="E36" i="3" l="1"/>
  <c r="E31" i="3" s="1"/>
  <c r="E28" i="3"/>
  <c r="E23" i="3" s="1"/>
  <c r="E3" i="3" s="1"/>
  <c r="E44" i="3"/>
  <c r="E39" i="3" s="1"/>
  <c r="E12" i="3"/>
  <c r="E7" i="3" s="1"/>
  <c r="D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ID#AAABb1-9jHw
Jose Carlos Vidal Bastos    (2025-01-17 18:20:38)
(Pontuação Nível 1 + Pontuação Nível 2) / 2</t>
        </r>
      </text>
    </comment>
    <comment ref="B10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ID#AAABb1-9jHs
Jose Carlos Vidal Bastos    (2025-01-17 18:20:38)
(Pontuação Nível 2 + Pontuação Nível 3) / 2</t>
        </r>
      </text>
    </comment>
    <comment ref="B1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ID#AAABb1-9jHo
Jose Carlos Vidal Bastos    (2025-01-17 18:20:38)
(Pontuação Nível 3 + Pontuação Nível 4) / 2</t>
        </r>
      </text>
    </comment>
    <comment ref="B13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ID#AAABb1-9jHk
Jose Carlos Vidal Bastos    (2025-01-17 18:20:38)
Acima da pontuação anterior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0LpTMVJ1/FH9E7p7/WmpPOLSVQ=="/>
    </ext>
  </extLst>
</comments>
</file>

<file path=xl/sharedStrings.xml><?xml version="1.0" encoding="utf-8"?>
<sst xmlns="http://schemas.openxmlformats.org/spreadsheetml/2006/main" count="328" uniqueCount="137">
  <si>
    <t>Competências</t>
  </si>
  <si>
    <t>Peso</t>
  </si>
  <si>
    <t>Soma</t>
  </si>
  <si>
    <t>Resultado</t>
  </si>
  <si>
    <t>Avaliação</t>
  </si>
  <si>
    <t>Comportamentos observáveis</t>
  </si>
  <si>
    <t>Pontuação</t>
  </si>
  <si>
    <t>Não atende</t>
  </si>
  <si>
    <t>Atende parcialmente</t>
  </si>
  <si>
    <t>Atende</t>
  </si>
  <si>
    <t>Supera</t>
  </si>
  <si>
    <t>Pontuação final da avaliação</t>
  </si>
  <si>
    <t>Referência</t>
  </si>
  <si>
    <t>Igual ou menor que</t>
  </si>
  <si>
    <t>Supera muito</t>
  </si>
  <si>
    <t>Abaixo do esperado</t>
  </si>
  <si>
    <t>Dentro do esperado</t>
  </si>
  <si>
    <t>Acima do esperado</t>
  </si>
  <si>
    <t>Maior que</t>
  </si>
  <si>
    <t>Resultado consolidado da Avaliação de Desempenho</t>
  </si>
  <si>
    <t>Pesos</t>
  </si>
  <si>
    <t>Nome do Colaborador</t>
  </si>
  <si>
    <t>Eixo</t>
  </si>
  <si>
    <t>Área</t>
  </si>
  <si>
    <t>Cargo</t>
  </si>
  <si>
    <t>Nome do avaliador</t>
  </si>
  <si>
    <t>Nota Gestor</t>
  </si>
  <si>
    <t>Nota Auto avaliação</t>
  </si>
  <si>
    <t>Nota final</t>
  </si>
  <si>
    <t>Resultado final</t>
  </si>
  <si>
    <t>Exemplo</t>
  </si>
  <si>
    <t>Capacidade de influenciar, inspirar e orientar pessoas e equipes para atingir objetivos organizacionais, estabelecendo relacionamentos de confiança, promovendo o crescimento individual e coletivo</t>
  </si>
  <si>
    <t>Influencia e inspira os outros de maneira consistente, estabelece relacionamentos de confiança sólidos e orienta pessoas e equipes para atingir objetivos organizacionais e promover o crescimento contínuo</t>
  </si>
  <si>
    <t>Visão sistêmica</t>
  </si>
  <si>
    <t xml:space="preserve">Trabalho em equipe </t>
  </si>
  <si>
    <t>Peso total</t>
  </si>
  <si>
    <t xml:space="preserve">Eficiência </t>
  </si>
  <si>
    <t>Eficiência</t>
  </si>
  <si>
    <t xml:space="preserve">Proatividade </t>
  </si>
  <si>
    <t>Grupo funcional: Operacional</t>
  </si>
  <si>
    <t>Realiza as tarefas de forma a alcançar os resultados, realizando entregas com baixo desperdício, dentro dos custos e prazos estabelecidos</t>
  </si>
  <si>
    <t>Realiza as tarefas alcançando resultados com o mínimo de recursos e sem desperdícios, além de apoiar e influenciar a implementação de práticas que promovem a eficiência além do processo em que atua</t>
  </si>
  <si>
    <t>Operacional</t>
  </si>
  <si>
    <t>Diretor</t>
  </si>
  <si>
    <t>Capacidade de análise</t>
  </si>
  <si>
    <t>Tomada de decisão</t>
  </si>
  <si>
    <t>Capacidade de visualizar a empresa como um sistema integrado, percebendo a inter-relação e a interdependência das áreas bem como o impacto de suas ações para os resultados do negócio, para os colaboradores e partes interessadas</t>
  </si>
  <si>
    <t>Reconhece que a empresa é composta por diferentes áreas, mas entende superficialmente que as ações de uma área podem afetar outras, apresentando um foco maior nas responsabilidades e metas da própria área</t>
  </si>
  <si>
    <t>Reconhece a inter-relação entre algumas áreas da empresa e demonstra interesse em entender como os processos de diferentes áreas se conectam, apresentando esforços para adaptar ações da sua área de forma a minimizar impactos negativos em outras</t>
  </si>
  <si>
    <t>Percebe claramente a empresa como um sistema integrado e age de forma proativa para colaborar com outras áreas, buscando alinhar as estratégias e atividades da sua área aos objetivos organizacionais</t>
  </si>
  <si>
    <t xml:space="preserve">Propõe iniciativas que visam integrar processos e estratégias interdepartamentais,  antecipando impactos de suas ações em toda a organização, colaboradores e partes interessadas, atuando de forma estratégica no equilíbrio dos resultados no curto e médio prazo. </t>
  </si>
  <si>
    <t>Comprometimento</t>
  </si>
  <si>
    <t>Orientação para segurança</t>
  </si>
  <si>
    <t>Encarregado</t>
  </si>
  <si>
    <t>Técnico Administrativo</t>
  </si>
  <si>
    <t>Gestão de Pessoas</t>
  </si>
  <si>
    <t>Supervisor e Gerente</t>
  </si>
  <si>
    <t>Relacionamento interpessoal</t>
  </si>
  <si>
    <t>Resiliência</t>
  </si>
  <si>
    <t>Capacidade de alcançar os resultados desejados com o mínimo de recursos possíveis, como tempo, esforço, custo e materiais, realizando as tarefas de maneira otimizada e sem desperdícios.</t>
  </si>
  <si>
    <t xml:space="preserve">Realiza as tarefas sem considerar a eficiência no uso de recursos, alcançando os resultados, mas com um consumo excessivo de tempo, esforço ou custo </t>
  </si>
  <si>
    <t>Realiza as tarefas preocupando-se em reduzir o uso de recursos, mas ainda com alguma margem de desperdício, necessitando de apoio para aplicar ajustes que promovam resultados eficientes</t>
  </si>
  <si>
    <t>Capacidade de cumprir as tarefas conforme normas, procedimentos e prazos estabelecidos, demonstrando constância, pontualidade e responsabilidade</t>
  </si>
  <si>
    <t>Cumpre as tarefas quando solicitado, mas com frequência precisa de lembretes ou orientações para seguir normas e procedimentos, além disso apresenta dificuldades em manter a constância e a pontualidade nas entregas</t>
  </si>
  <si>
    <t>Cumpre as tarefas de forma regular, apresentando pontualidade e seguindo as normas e procedimentos estabelecidos na maior parte das vezes</t>
  </si>
  <si>
    <t>Cumpre as tarefas de maneira constante e comprometida, com aderência às normas, procedimentos e padrões, demonstrando responsabilidade e pontualidade</t>
  </si>
  <si>
    <t>Realiza as tarefas de forma exemplar, atuando como modelo de compromisso e responsabilidade, influenciando positivamente os outros ao demonstrar constância, pontualidade e responsabilidade em todas as entregas</t>
  </si>
  <si>
    <t>Capacidade de priorizar a integridade física no ambiente de trabalho, seguindo normas, identificando riscos e adotando comportamentos preventivos para evitar acidentes, envolvendo uma postura ativa na promoção de um ambiente seguro para si e para os demais.</t>
  </si>
  <si>
    <t>Segue as normas de segurança apenas quando exigido, age de forma reativa diante de riscos e não se preocupa em identificar ou relatar potenciais perigos no ambiente de trabalho</t>
  </si>
  <si>
    <t>Adota práticas seguras no dia a dia, respeita normas e sinaliza riscos quando identificados, mas não age proativamente para promover a segurança de forma ampla</t>
  </si>
  <si>
    <t>Além de cumprir as normas, antecipa e reporta riscos, orienta colegas sobre práticas seguras e busca melhorar processos para reduzir acidentes e incidentes</t>
  </si>
  <si>
    <t>Atua como referência em segurança, inspira e orienta os outros, propõe e participa ativamente da implementação de melhorias nos procedimentos e age antecipadamente para eliminar riscos, contribuindo para um ambiente de trabalho mais seguro e preventivo</t>
  </si>
  <si>
    <t xml:space="preserve">Capacidade de agir de forma antecipada e responsável para evitar problemas, melhorar processos, atuando  com iniciativa, atenção aos detalhes. </t>
  </si>
  <si>
    <t>Atua apenas quando solicitado, aguarda instruções para iniciar qualquer atividade e não demonstra preocupação em antecipar problemas ou propor melhorias</t>
  </si>
  <si>
    <t>Cumpre suas funções com qualidade e dentro dos prazos, sinaliza problemas à liderança, mas não busca soluções por conta própria, e participa de iniciativas de melhoria quando solicitado</t>
  </si>
  <si>
    <t>Identifica problemas e propõe soluções antes que impactem o trabalho, busca melhorias para sua rotina e compartilha boas práticas, além de apoiar colegas quando percebe dificuldades</t>
  </si>
  <si>
    <t xml:space="preserve">Atua como referência para a equipe, inspira colegas a serem mais proativos, antecipa falhas, propõe e participa ativamente da implementação de melhorias </t>
  </si>
  <si>
    <t xml:space="preserve">Capacidade de agir proativamente para o alcance dos objetivos coletivos, comunicando-se de forma clara, demonstrando interesse em compreender as necessidades do outro e contribuir para a criação de soluções conjuntas </t>
  </si>
  <si>
    <t>Demonstra esforço limitado para agir proativamente, apresentando dificuldade em se expressar e geralmente aguarda orientações para contribuir com os objetivos coletivos</t>
  </si>
  <si>
    <t>Age de forma mais proativa, comunicando-se de forma clara e buscando entender as necessidades dos outros e contribuindo para soluções coletivas, embora ainda dependa de alguma orientação para identificar as melhores formas de colaborar</t>
  </si>
  <si>
    <t>Demonstra proatividade ao agir em prol dos objetivos coletivos, comunicando-se de  forma clara, compreendendo as necessidades dos outros e contribuindo frequentemente com demais colaboradores e equipes</t>
  </si>
  <si>
    <t>Compreende as necessidades dos outros e cria soluções inovadoras  e colaborativas que beneficiam todo o time ou organização, além de apresentar uma comunicação clara e objetiva, facilitando o repasse e compartilhamento de informações.</t>
  </si>
  <si>
    <t>Grupo funcional: Técnico Administrativo</t>
  </si>
  <si>
    <t>Realiza as tarefas sem considerar a eficiência no uso de recursos, alcançando os resultados, mas com um consumo excessivo de tempo, esforço ou custo</t>
  </si>
  <si>
    <t>Cumpre as tarefas de forma regular, apresentando pontualidade e seguindo as normas e procedimentos estabelecidos na maior parte das vezes, além de esforçar-se para cumprir meta e indicadores</t>
  </si>
  <si>
    <t>Cumpre as tarefas de maneira constante e comprometida, com aderência às normas, procedimentos e padrões, demonstrando responsabilidade e pontualidade no que diz respeito às metas e indicadores</t>
  </si>
  <si>
    <t>Realiza as tarefas de forma exemplar, atuando como modelo de compromisso e responsabilidade, influenciando positivamente os outros ao demonstrar constância, pontualidade e responsabilidade em todas as entregas, metas e indicadores</t>
  </si>
  <si>
    <t xml:space="preserve">Capacidade de avaliar informações, situações ou resultados de maneira interpretativa e baseada em dados e argumentos sólidos, extraindo pontos relevantes, convergindo e construindo diagnósticos de forma resumida </t>
  </si>
  <si>
    <t>Avalia informações e situações de forma superficial, sem considerar dados e argumentos sólidos, frequentemente precisando de orientação para identificar pontos relevantes e extrair diagnósticos</t>
  </si>
  <si>
    <t>Realiza avaliações mais fundamentadas, considerando dados e informações, mas ainda com alguma dificuldade em convergir e sintetizar os pontos mais relevantes de maneira clara e concisa</t>
  </si>
  <si>
    <t>Analisa informações e resultados de maneira interpretativa e organizada, utilizando dados e argumentos consistentes para elaborar diagnósticos claros e objetivos, extraindo os pontos mais relevantes de forma eficiente</t>
  </si>
  <si>
    <t>Realiza avaliações complexas e altamente interpretativas, extraindo ideias e construindo diagnósticos precisos, com base em dados robustos e argumentos bem fundamentados, apresentando as informações de forma resumida, mas com impacto e clareza</t>
  </si>
  <si>
    <t>Grupo funcional: Encarregado</t>
  </si>
  <si>
    <t xml:space="preserve">Capacidade de cumprir o planejamento e metas conforme normas, procedimentos e prazos estabelecidos, demonstrando constância, pontualidade e responsabilidade no alcance dos objetivos setoriais </t>
  </si>
  <si>
    <t>Cumpre o planejamento e metas, mas com frequência precisa de orientações para cumprir prazos e realizar as entregas conforme estabelecido, apresentando dificuldades em manter a constância e a pontualidade nas entregas</t>
  </si>
  <si>
    <t>Cumpre o planejamento e metas de forma regular, apresentando pontualidade e seguindo as normas e procedimentos estabelecidos na maior parte das vezes</t>
  </si>
  <si>
    <t>Cumpre o planejamento e as metas de maneira constante e comprometida, com aderência às normas, procedimentos e padrões, demonstrando responsabilidade e pontualidade nas entregas</t>
  </si>
  <si>
    <t>Demonstra dificuldades em influenciar e orientar os outros, estabelecendo relacionamentos superficiais ou com pouca confiança mútua devido a dificuldade de se comunicar e administrar conflitos, e requer apoio contínuo nas estratégias de desenvolvimento individual e coletivo</t>
  </si>
  <si>
    <t>Consegue influenciar e orientar as pessoas de maneira moderada, estabelecendo alguns relacionamentos de confiança, mas ainda apresenta dificuldades na comunicação, enfrentando desafios para impulsionar o desenvolvimento individual e coletivo de forma consistente</t>
  </si>
  <si>
    <t>Influencia, inspira e comunica-se com os outros de maneira consistente, estabelecendo relacionamentos de confiança sólidos e orientando pessoas e equipes para atingir objetivos organizacionais e promover o crescimento contínuo</t>
  </si>
  <si>
    <t>Exerce uma influência significativa e inspiradora, guiando pessoas e equipes para alcançar resultados excepcionais, estabelecendo relacionamentos profundos de confiança e promovendo um crescimento contínuo e sustentável para a organização e seus membros</t>
  </si>
  <si>
    <t>Capacidade de avaliar informações, analisar impactos e escolher a melhor solução para desafios do dia a dia dentro do seu setor, considerando regras e objetivos organizacionais para garantir escolhas alinhadas às melhores práticas e resultados esperados</t>
  </si>
  <si>
    <t>Evita tomar decisões por conta própria, aguardando orientações mesmo para questões simples, e apresenta dificuldade em avaliar impactos antes de agir</t>
  </si>
  <si>
    <t>Toma decisões em situações rotineiras e previsíveis, seguindo procedimentos estabelecidos, mas ainda depende de orientação em situações mais complexas ou inesperadas</t>
  </si>
  <si>
    <t>Avalia riscos e impactos antes de decidir, busca soluções alinhadas aos objetivos do setor e da empresa, consulta informações relevantes e sabe quando envolver outros para garantir uma escolha mais assertiva</t>
  </si>
  <si>
    <t>Toma decisões com autonomia dentro de sua área de atuação, antecipa problemas e oportunidades, considera impactos a longo prazo e influencia melhorias nos processos decisórios do setor</t>
  </si>
  <si>
    <t>Grupo funcional: Supervisor e Gerente</t>
  </si>
  <si>
    <t>Capacidade de alcançar os resultados estabelecidos para a organização com o mínimo de recursos possíveis, como tempo, esforço, custo e materiais, realizando as tarefas de maneira otimizada e sem desperdícios</t>
  </si>
  <si>
    <t>Realiza ações direcionadas ao cumprimento das metas sem considerar a eficiência no uso de recursos e nem sempre identifica as prioridades ou os impactos nos resultados, necessitando de orientação para alinhar seus esforços aos objetivos organizacionais</t>
  </si>
  <si>
    <t>Direciona seus esforços para ações que impactam diretamente nas metas, mas ainda necessita de apoio para a busca de resultados consistentes e alinhados aos valores e princípios da empresa</t>
  </si>
  <si>
    <t>Planeja e executa ações que potencializam os resultados organizacionais, administrando recursos de maneira eficiente para o alcançar metas de forma consistente, mesmo em situações desafiadoras, realizando entregas com baixo desperdício, dentro dos custos e prazos estabelecidos</t>
  </si>
  <si>
    <t>Concentra esforços em ações de alto impacto, alcançando resultados com o mínimo de recursos e sem desperdícios, atuando de forma exemplar no alcance de resultados e na superação de metas</t>
  </si>
  <si>
    <t>Capacidade de cumprir o planejamento e objetivos organizacionais no curto e médio prazos, conforme normas e procedimentos, demonstrando constância, pontualidade e responsabilidade no alcance dos objetivos setoriais</t>
  </si>
  <si>
    <t>Esforça-se para cumprir o planejamento e os objetivos do setor, mas com frequência precisa de orientações e apoio, apresentando dificuldades em manter a constância e a pontualidade nas entregas</t>
  </si>
  <si>
    <t>Cumpre o planejamento e objetivos do setor de forma regular, apresentando pontualidade e seguindo as normas e procedimentos estabelecidos na maior parte das vezes</t>
  </si>
  <si>
    <t>Cumpre o planejamento e as metas de maneira constante e comprometida, com aderência às normas, procedimentos e padrões, demonstrando responsabilidade e pontualidade nas entregas setoriais</t>
  </si>
  <si>
    <t>Realiza as tarefas de forma exemplar, atuando como modelo de compromisso e responsabilidade, influenciando positivamente os outros ao demonstrar constância, pontualidade e responsabilidade em todas as entregas setoriais</t>
  </si>
  <si>
    <t>Grupo funcional: Diretor</t>
  </si>
  <si>
    <t>Capacidade de cumprir o planejamento e objetivos organizacionais no curto, médio e longo prazos, conforme normas e procedimentos, demonstrando constância, pontualidade e responsabilidade no alcance dos objetivos organizacionais</t>
  </si>
  <si>
    <t>Esforça-se para cumprir o planejamento e os objetivos organizacionais, mas com frequência precisa de orientações e apoio, apresentando dificuldades em manter a constância e a pontualidade nas entregas</t>
  </si>
  <si>
    <t>Cumpre o planejamento e objetivos organizacionais de forma regular, apresentando pontualidade e seguindo as normas e procedimentos estabelecidos na maior parte das vezes</t>
  </si>
  <si>
    <t>Demonstra dificuldades em influenciar e orientar os outros, estabelecendo relacionamentos superficiais ou com pouca confiança mútua, e requer apoio contínuo nas estratégias de desenvolvimento individual e coletivo</t>
  </si>
  <si>
    <t>Consegue influenciar e orientar as pessoas de maneira moderada, estabelecendo alguns relacionamentos de confiança, mas ainda enfrenta desafios para impulsionar o desenvolvimento individual e coletivo de forma consistente</t>
  </si>
  <si>
    <t xml:space="preserve">Capacidade de influenciar, inspirar e orientar pessoas para atingir objetivos organizacionais, administrando conflitos e estabelecendo relacionamentos de confiança com colaboradores, comunidade, clientes e fornecedores, contribuindo diretamente para o crescimento organizacional </t>
  </si>
  <si>
    <t>Interage de forma limitada, focando apenas nas próprias responsabilidades, apresentando dificuldade em administrar conflitos, estabelecer conexões de confiança e influenciar no ambiente ao seu redor</t>
  </si>
  <si>
    <t>Mantém boas relações com pessoas, grupos e entidades relacionados à empresa com que atua, comunicando-se de forma respeitosa, administrando conflitos e contribuindo para estabelecer relacionamentos de confiança, mas ainda tem pouca influência sobre os outros</t>
  </si>
  <si>
    <t>Constrói relacionamentos de confiança, administrando bem os conflitos e influenciando positivamente pessoas, grupos e entidades relacionados à empresa para o alcançar objetivos e promover um ambiente colaborativo e motivador</t>
  </si>
  <si>
    <t>Atua como referência no relacionamento interpessoal, inspirando e engajando pessoas para atingir metas organizacionais, promover o desenvolvimento dos outros e fortalecer a cultura de confiança e crescimento na organização</t>
  </si>
  <si>
    <t>Capacidade de se adaptar e se recuperar diante de adversidades, mudanças inesperadas ou crises, mantendo ou retomando rapidamente a eficiência e o foco nos objetivos estratégicos, aprendendo com as experiências e tornando-se mais preparado para lidar com desafios futuros</t>
  </si>
  <si>
    <t>Reconhece as adversidades e crises quando elas surgem, mas sua adaptação é muitas vezes lenta e marcada por reações impulsivas, apresentado dificuldades em retomar a eficiência e os objetivos rapidamente</t>
  </si>
  <si>
    <t>Responde de maneira mais estruturada às adversidades e mudanças inesperadas, recuperando a eficiência e foco nos objetivos estratégicos de forma mais ágil e aprendendo com as experiências vividas, embora a preparação para novos desafios ainda esteja em desenvolvimento</t>
  </si>
  <si>
    <t xml:space="preserve">Demonstra sólida capacidade de adaptação e recuperação, conseguindo manter a eficiência e o foco nos objetivos estratégicos mesmo em momentos de crise, aplicando os aprendizados de forma eficaz, antecipando  obstáculos e preparando-se de maneira mais ativa para futuros desafios </t>
  </si>
  <si>
    <t>Apresenta alta capacidade de adaptação, respondendo rapidamente às adversidades e mudanças sem comprometer a eficiência ou os objetivos estratégicos, utilizando o aprendizado para melhorar suas respostas a crises e se antecipar aos desafios futuros, transformando dificuldades em oportunidades de crescimento</t>
  </si>
  <si>
    <t>Capacidade de avaliar informações, analisar impactos e escolher a melhor solução para desafios no médio e longo prazo, considerando regras e objetivos organizacionais para garantir escolhas alinhadas às melhores práticas e resultados esperados para o negócio</t>
  </si>
  <si>
    <t>Toma decisões em situações rotineiras e previsíveis, seguindo procedimentos estabelecidos, mas ainda depende de orientação em situações que exigem uma avaliação no médio e longo prazo</t>
  </si>
  <si>
    <t>Avalia riscos e impactos antes de decidir, busca soluções alinhadas aos objetivos do negócio, consulta informações relevantes e sabe quando envolver outros para garantir uma escolha mais assertiva</t>
  </si>
  <si>
    <t>Toma decisões com autonomia para o alcance dos objetivos organizacionais, antecipa problemas e oportunidades, considera impactos a longo prazo e influencia melhorias nos processos decisórios do negócio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</si>
</sst>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20"/>
      <color theme="0"/>
      <name val="Arial"/>
      <family val="2"/>
    </font>
    <font>
      <sz val="10"/>
      <color theme="1"/>
      <name val="Calibri"/>
      <family val="2"/>
    </font>
    <font>
      <b/>
      <sz val="14"/>
      <color theme="0"/>
      <name val="Arial"/>
      <family val="2"/>
    </font>
    <font>
      <b/>
      <sz val="11"/>
      <color theme="0"/>
      <name val="Calibri"/>
      <family val="2"/>
    </font>
    <font>
      <sz val="20"/>
      <color theme="1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8"/>
      <color theme="0"/>
      <name val="Calibri"/>
      <family val="2"/>
    </font>
    <font>
      <sz val="9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2F5496"/>
        <bgColor rgb="FF2F5496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2E75B5"/>
      </left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 style="dotted">
        <color rgb="FF2E75B5"/>
      </left>
      <right/>
      <top style="dotted">
        <color rgb="FF2E75B5"/>
      </top>
      <bottom style="dotted">
        <color rgb="FF2E75B5"/>
      </bottom>
      <diagonal/>
    </border>
    <border>
      <left/>
      <right style="dotted">
        <color rgb="FF2E75B5"/>
      </right>
      <top style="dotted">
        <color rgb="FF2E75B5"/>
      </top>
      <bottom style="dotted">
        <color rgb="FF2E75B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2E75B5"/>
      </right>
      <top/>
      <bottom/>
      <diagonal/>
    </border>
    <border>
      <left style="medium">
        <color rgb="FF2E75B5"/>
      </left>
      <right/>
      <top style="medium">
        <color rgb="FF2E75B5"/>
      </top>
      <bottom/>
      <diagonal/>
    </border>
    <border>
      <left/>
      <right style="medium">
        <color rgb="FF2E75B5"/>
      </right>
      <top style="medium">
        <color rgb="FF2E75B5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8" tint="-0.24994659260841701"/>
      </left>
      <right style="medium">
        <color theme="8" tint="-0.24994659260841701"/>
      </right>
      <top style="dotted">
        <color theme="8" tint="-0.24994659260841701"/>
      </top>
      <bottom style="dotted">
        <color theme="8" tint="-0.24994659260841701"/>
      </bottom>
      <diagonal/>
    </border>
    <border>
      <left style="medium">
        <color rgb="FF2E75B5"/>
      </left>
      <right/>
      <top/>
      <bottom/>
      <diagonal/>
    </border>
    <border>
      <left style="medium">
        <color rgb="FF2E75B5"/>
      </left>
      <right/>
      <top style="thin">
        <color theme="0"/>
      </top>
      <bottom/>
      <diagonal/>
    </border>
    <border>
      <left/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 style="thin">
        <color theme="0"/>
      </top>
      <bottom/>
      <diagonal/>
    </border>
    <border>
      <left style="thin">
        <color theme="0"/>
      </left>
      <right style="medium">
        <color rgb="FF2E75B5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theme="8" tint="-0.24994659260841701"/>
      </left>
      <right style="thin">
        <color theme="0"/>
      </right>
      <top style="thin">
        <color theme="0"/>
      </top>
      <bottom/>
      <diagonal/>
    </border>
    <border>
      <left style="medium">
        <color rgb="FF2E75B5"/>
      </left>
      <right style="medium">
        <color theme="8" tint="-0.24994659260841701"/>
      </right>
      <top style="medium">
        <color theme="8" tint="-0.24994659260841701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dotted">
        <color rgb="FF2E75B5"/>
      </bottom>
      <diagonal/>
    </border>
    <border>
      <left style="medium">
        <color rgb="FF2E75B5"/>
      </left>
      <right style="medium">
        <color theme="8" tint="-0.24994659260841701"/>
      </right>
      <top style="dotted">
        <color rgb="FF2E75B5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16">
    <xf numFmtId="0" fontId="0" fillId="0" borderId="0" xfId="0"/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/>
    <xf numFmtId="0" fontId="6" fillId="2" borderId="5" xfId="0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/>
    </xf>
    <xf numFmtId="4" fontId="2" fillId="2" borderId="5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2" fontId="2" fillId="2" borderId="3" xfId="0" applyNumberFormat="1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vertical="center"/>
    </xf>
    <xf numFmtId="165" fontId="2" fillId="2" borderId="3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right" vertical="center" wrapText="1"/>
    </xf>
    <xf numFmtId="0" fontId="2" fillId="2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 wrapText="1"/>
    </xf>
    <xf numFmtId="165" fontId="10" fillId="2" borderId="3" xfId="0" applyNumberFormat="1" applyFont="1" applyFill="1" applyBorder="1" applyAlignment="1">
      <alignment vertical="center" wrapText="1"/>
    </xf>
    <xf numFmtId="165" fontId="11" fillId="2" borderId="3" xfId="0" applyNumberFormat="1" applyFont="1" applyFill="1" applyBorder="1" applyAlignment="1">
      <alignment vertical="center"/>
    </xf>
    <xf numFmtId="165" fontId="11" fillId="2" borderId="3" xfId="0" applyNumberFormat="1" applyFont="1" applyFill="1" applyBorder="1" applyAlignment="1">
      <alignment vertical="center" wrapText="1"/>
    </xf>
    <xf numFmtId="0" fontId="2" fillId="2" borderId="33" xfId="0" applyFont="1" applyFill="1" applyBorder="1" applyAlignment="1">
      <alignment horizontal="right" vertical="center" wrapText="1"/>
    </xf>
    <xf numFmtId="0" fontId="2" fillId="2" borderId="34" xfId="0" applyFont="1" applyFill="1" applyBorder="1" applyAlignment="1">
      <alignment horizontal="center" vertical="center"/>
    </xf>
    <xf numFmtId="0" fontId="8" fillId="6" borderId="35" xfId="0" applyFont="1" applyFill="1" applyBorder="1" applyAlignment="1">
      <alignment vertical="center"/>
    </xf>
    <xf numFmtId="0" fontId="2" fillId="2" borderId="36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vertical="center"/>
    </xf>
    <xf numFmtId="0" fontId="2" fillId="2" borderId="38" xfId="0" applyFont="1" applyFill="1" applyBorder="1" applyAlignment="1">
      <alignment horizontal="right" vertical="center" wrapText="1"/>
    </xf>
    <xf numFmtId="0" fontId="2" fillId="2" borderId="39" xfId="0" applyFont="1" applyFill="1" applyBorder="1" applyAlignment="1">
      <alignment horizontal="center" vertical="center"/>
    </xf>
    <xf numFmtId="0" fontId="8" fillId="8" borderId="4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9" fontId="15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 wrapText="1"/>
    </xf>
    <xf numFmtId="0" fontId="16" fillId="2" borderId="4" xfId="0" applyFont="1" applyFill="1" applyBorder="1" applyAlignment="1">
      <alignment vertical="center"/>
    </xf>
    <xf numFmtId="4" fontId="16" fillId="2" borderId="4" xfId="0" applyNumberFormat="1" applyFont="1" applyFill="1" applyBorder="1" applyAlignment="1">
      <alignment horizontal="center" vertical="center"/>
    </xf>
    <xf numFmtId="4" fontId="16" fillId="9" borderId="4" xfId="0" applyNumberFormat="1" applyFont="1" applyFill="1" applyBorder="1" applyAlignment="1">
      <alignment horizontal="center" vertical="center"/>
    </xf>
    <xf numFmtId="4" fontId="16" fillId="9" borderId="4" xfId="0" applyNumberFormat="1" applyFont="1" applyFill="1" applyBorder="1" applyAlignment="1">
      <alignment vertical="center"/>
    </xf>
    <xf numFmtId="0" fontId="4" fillId="13" borderId="4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51" xfId="0" applyFont="1" applyBorder="1" applyAlignment="1">
      <alignment horizontal="center" vertical="center"/>
    </xf>
    <xf numFmtId="0" fontId="19" fillId="0" borderId="51" xfId="0" applyFont="1" applyBorder="1" applyAlignment="1">
      <alignment vertical="center" wrapText="1"/>
    </xf>
    <xf numFmtId="164" fontId="19" fillId="0" borderId="51" xfId="1" applyNumberFormat="1" applyFont="1" applyFill="1" applyBorder="1" applyAlignment="1">
      <alignment vertical="center" wrapText="1"/>
    </xf>
    <xf numFmtId="0" fontId="19" fillId="0" borderId="51" xfId="1" applyNumberFormat="1" applyFont="1" applyFill="1" applyBorder="1" applyAlignment="1">
      <alignment horizontal="center" vertical="center" wrapText="1"/>
    </xf>
    <xf numFmtId="0" fontId="19" fillId="16" borderId="51" xfId="0" applyFont="1" applyFill="1" applyBorder="1" applyAlignment="1">
      <alignment vertical="center"/>
    </xf>
    <xf numFmtId="0" fontId="20" fillId="0" borderId="51" xfId="0" applyFont="1" applyBorder="1" applyAlignment="1">
      <alignment vertical="center"/>
    </xf>
    <xf numFmtId="0" fontId="0" fillId="15" borderId="0" xfId="0" applyFill="1" applyAlignment="1">
      <alignment vertical="center"/>
    </xf>
    <xf numFmtId="0" fontId="0" fillId="15" borderId="0" xfId="0" applyFill="1" applyAlignment="1">
      <alignment horizontal="center" vertical="center"/>
    </xf>
    <xf numFmtId="0" fontId="7" fillId="10" borderId="52" xfId="0" applyFont="1" applyFill="1" applyBorder="1" applyAlignment="1">
      <alignment horizontal="center" vertical="center"/>
    </xf>
    <xf numFmtId="0" fontId="0" fillId="15" borderId="0" xfId="0" applyFill="1"/>
    <xf numFmtId="0" fontId="19" fillId="15" borderId="51" xfId="0" applyFont="1" applyFill="1" applyBorder="1" applyAlignment="1">
      <alignment vertical="center" wrapText="1"/>
    </xf>
    <xf numFmtId="9" fontId="19" fillId="0" borderId="51" xfId="1" applyFont="1" applyBorder="1" applyAlignment="1">
      <alignment horizontal="center" vertical="center" wrapText="1"/>
    </xf>
    <xf numFmtId="9" fontId="20" fillId="0" borderId="51" xfId="1" applyFont="1" applyBorder="1" applyAlignment="1">
      <alignment horizontal="center" vertical="center" wrapText="1"/>
    </xf>
    <xf numFmtId="0" fontId="2" fillId="2" borderId="32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32" xfId="0" applyFont="1" applyFill="1" applyBorder="1"/>
    <xf numFmtId="0" fontId="2" fillId="2" borderId="32" xfId="0" applyFont="1" applyFill="1" applyBorder="1" applyAlignment="1">
      <alignment vertical="center" wrapText="1"/>
    </xf>
    <xf numFmtId="0" fontId="9" fillId="0" borderId="5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9" fontId="2" fillId="2" borderId="32" xfId="1" applyFont="1" applyFill="1" applyBorder="1" applyAlignment="1">
      <alignment vertical="center" wrapText="1"/>
    </xf>
    <xf numFmtId="0" fontId="0" fillId="11" borderId="56" xfId="0" applyFill="1" applyBorder="1" applyAlignment="1">
      <alignment vertical="center" wrapText="1"/>
    </xf>
    <xf numFmtId="0" fontId="18" fillId="12" borderId="57" xfId="0" applyFont="1" applyFill="1" applyBorder="1" applyAlignment="1">
      <alignment horizontal="center" vertical="center" wrapText="1"/>
    </xf>
    <xf numFmtId="0" fontId="21" fillId="17" borderId="47" xfId="0" applyFont="1" applyFill="1" applyBorder="1" applyAlignment="1">
      <alignment vertical="center"/>
    </xf>
    <xf numFmtId="0" fontId="21" fillId="18" borderId="50" xfId="0" applyFont="1" applyFill="1" applyBorder="1" applyAlignment="1">
      <alignment vertical="center"/>
    </xf>
    <xf numFmtId="0" fontId="22" fillId="18" borderId="51" xfId="0" applyFont="1" applyFill="1" applyBorder="1" applyAlignment="1">
      <alignment horizontal="center" vertical="center"/>
    </xf>
    <xf numFmtId="0" fontId="4" fillId="20" borderId="41" xfId="0" applyFont="1" applyFill="1" applyBorder="1" applyAlignment="1">
      <alignment vertical="center" wrapText="1"/>
    </xf>
    <xf numFmtId="0" fontId="1" fillId="11" borderId="56" xfId="0" applyFont="1" applyFill="1" applyBorder="1" applyAlignment="1">
      <alignment vertical="center" wrapText="1"/>
    </xf>
    <xf numFmtId="0" fontId="22" fillId="17" borderId="48" xfId="0" applyFont="1" applyFill="1" applyBorder="1" applyAlignment="1">
      <alignment horizontal="center" vertical="center" wrapText="1"/>
    </xf>
    <xf numFmtId="0" fontId="22" fillId="17" borderId="49" xfId="0" applyFont="1" applyFill="1" applyBorder="1" applyAlignment="1">
      <alignment horizontal="center" vertical="center" wrapText="1"/>
    </xf>
    <xf numFmtId="0" fontId="22" fillId="17" borderId="49" xfId="0" applyFont="1" applyFill="1" applyBorder="1" applyAlignment="1">
      <alignment horizontal="center" vertical="center"/>
    </xf>
    <xf numFmtId="0" fontId="22" fillId="17" borderId="48" xfId="0" applyFont="1" applyFill="1" applyBorder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  <xf numFmtId="0" fontId="4" fillId="15" borderId="12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8" fillId="3" borderId="45" xfId="0" applyFont="1" applyFill="1" applyBorder="1" applyAlignment="1">
      <alignment horizontal="center" vertical="center" wrapText="1"/>
    </xf>
    <xf numFmtId="0" fontId="4" fillId="0" borderId="46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5" fillId="19" borderId="44" xfId="0" applyFont="1" applyFill="1" applyBorder="1" applyAlignment="1">
      <alignment horizontal="center" vertical="center"/>
    </xf>
    <xf numFmtId="0" fontId="5" fillId="19" borderId="42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4" fillId="0" borderId="29" xfId="0" applyFont="1" applyBorder="1"/>
    <xf numFmtId="0" fontId="4" fillId="0" borderId="30" xfId="0" applyFont="1" applyBorder="1"/>
    <xf numFmtId="0" fontId="12" fillId="2" borderId="8" xfId="0" applyFont="1" applyFill="1" applyBorder="1" applyAlignment="1">
      <alignment horizontal="center" vertical="center"/>
    </xf>
    <xf numFmtId="0" fontId="4" fillId="0" borderId="32" xfId="0" applyFont="1" applyBorder="1"/>
    <xf numFmtId="0" fontId="4" fillId="0" borderId="9" xfId="0" applyFont="1" applyBorder="1"/>
    <xf numFmtId="0" fontId="13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4" fillId="0" borderId="20" xfId="0" applyFont="1" applyBorder="1"/>
    <xf numFmtId="0" fontId="8" fillId="4" borderId="28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center" vertical="center" wrapText="1"/>
    </xf>
    <xf numFmtId="165" fontId="8" fillId="8" borderId="3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4" fillId="0" borderId="2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51</xdr:col>
      <xdr:colOff>238125</xdr:colOff>
      <xdr:row>9</xdr:row>
      <xdr:rowOff>152400</xdr:rowOff>
    </xdr:from>
    <xdr:ext cx="93345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884038" y="3508538"/>
          <a:ext cx="923925" cy="542925"/>
        </a:xfrm>
        <a:prstGeom prst="lef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104775</xdr:colOff>
      <xdr:row>8</xdr:row>
      <xdr:rowOff>247650</xdr:rowOff>
    </xdr:from>
    <xdr:ext cx="409575" cy="200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145975" y="3684750"/>
          <a:ext cx="4000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1,0</a:t>
          </a:r>
          <a:endParaRPr sz="1400"/>
        </a:p>
      </xdr:txBody>
    </xdr:sp>
    <xdr:clientData fLocksWithSheet="0"/>
  </xdr:oneCellAnchor>
  <xdr:oneCellAnchor>
    <xdr:from>
      <xdr:col>11</xdr:col>
      <xdr:colOff>85725</xdr:colOff>
      <xdr:row>8</xdr:row>
      <xdr:rowOff>247650</xdr:rowOff>
    </xdr:from>
    <xdr:ext cx="419100" cy="200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1,6</a:t>
          </a:r>
          <a:endParaRPr sz="1400"/>
        </a:p>
      </xdr:txBody>
    </xdr:sp>
    <xdr:clientData fLocksWithSheet="0"/>
  </xdr:oneCellAnchor>
  <xdr:oneCellAnchor>
    <xdr:from>
      <xdr:col>21</xdr:col>
      <xdr:colOff>95250</xdr:colOff>
      <xdr:row>8</xdr:row>
      <xdr:rowOff>247650</xdr:rowOff>
    </xdr:from>
    <xdr:ext cx="419100" cy="2000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2,6</a:t>
          </a:r>
          <a:endParaRPr sz="1400"/>
        </a:p>
      </xdr:txBody>
    </xdr:sp>
    <xdr:clientData fLocksWithSheet="0"/>
  </xdr:oneCellAnchor>
  <xdr:oneCellAnchor>
    <xdr:from>
      <xdr:col>31</xdr:col>
      <xdr:colOff>95250</xdr:colOff>
      <xdr:row>8</xdr:row>
      <xdr:rowOff>247650</xdr:rowOff>
    </xdr:from>
    <xdr:ext cx="419100" cy="200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141213" y="3684750"/>
          <a:ext cx="409575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3,6</a:t>
          </a:r>
          <a:endParaRPr sz="1400"/>
        </a:p>
      </xdr:txBody>
    </xdr:sp>
    <xdr:clientData fLocksWithSheet="0"/>
  </xdr:oneCellAnchor>
  <xdr:oneCellAnchor>
    <xdr:from>
      <xdr:col>40</xdr:col>
      <xdr:colOff>85725</xdr:colOff>
      <xdr:row>8</xdr:row>
      <xdr:rowOff>238125</xdr:rowOff>
    </xdr:from>
    <xdr:ext cx="419100" cy="1905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4,5</a:t>
          </a:r>
          <a:endParaRPr sz="1400"/>
        </a:p>
      </xdr:txBody>
    </xdr:sp>
    <xdr:clientData fLocksWithSheet="0"/>
  </xdr:oneCellAnchor>
  <xdr:oneCellAnchor>
    <xdr:from>
      <xdr:col>45</xdr:col>
      <xdr:colOff>85725</xdr:colOff>
      <xdr:row>8</xdr:row>
      <xdr:rowOff>238125</xdr:rowOff>
    </xdr:from>
    <xdr:ext cx="419100" cy="1905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141213" y="3689513"/>
          <a:ext cx="40957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5,0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39bdea52a34a15/Total%20Consult/3%20BMG/GD/Brasfrigo/Avalia&#231;&#227;o%20Brasfrigo.xlsx" TargetMode="External"/><Relationship Id="rId1" Type="http://schemas.openxmlformats.org/officeDocument/2006/relationships/externalLinkPath" Target="https://d.docs.live.net/d039bdea52a34a15/Total%20Consult/3%20BMG/GD/Brasfrigo/Avalia&#231;&#227;o%20Brasfr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etências"/>
      <sheetName val="Operacional"/>
      <sheetName val="Assistente e Técnico"/>
      <sheetName val="Analista e Especialista"/>
      <sheetName val="Encarregado e Líder"/>
      <sheetName val="Supervisor"/>
      <sheetName val="Coordenador"/>
      <sheetName val="Gerente"/>
      <sheetName val="Diretor"/>
      <sheetName val="Referências"/>
      <sheetName val="Resulta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B9">
            <v>1.6</v>
          </cell>
          <cell r="C9" t="str">
            <v>Não atende</v>
          </cell>
        </row>
        <row r="10">
          <cell r="B10">
            <v>2.6</v>
          </cell>
          <cell r="C10" t="str">
            <v>Atende parcialmente</v>
          </cell>
        </row>
        <row r="11">
          <cell r="B11">
            <v>3.6</v>
          </cell>
          <cell r="C11" t="str">
            <v>Atende</v>
          </cell>
        </row>
        <row r="12">
          <cell r="B12">
            <v>4.5</v>
          </cell>
          <cell r="C12" t="str">
            <v>Supera</v>
          </cell>
        </row>
        <row r="13">
          <cell r="C13" t="str">
            <v>Supera muito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9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J9" sqref="J9"/>
    </sheetView>
  </sheetViews>
  <sheetFormatPr defaultColWidth="14.42578125" defaultRowHeight="15" customHeight="1" x14ac:dyDescent="0.25"/>
  <cols>
    <col min="1" max="1" width="9.28515625" style="49"/>
    <col min="2" max="2" width="41" style="49" customWidth="1"/>
    <col min="3" max="3" width="12.7109375" style="50" customWidth="1"/>
    <col min="4" max="4" width="40.7109375" customWidth="1"/>
    <col min="5" max="5" width="12.7109375" style="51" customWidth="1"/>
    <col min="6" max="6" width="40.7109375" style="49" customWidth="1"/>
    <col min="7" max="7" width="12.7109375" style="50" customWidth="1"/>
    <col min="8" max="8" width="40.7109375" style="49" customWidth="1"/>
    <col min="9" max="9" width="12.7109375" style="50" customWidth="1"/>
    <col min="10" max="10" width="40.7109375" style="49" customWidth="1"/>
    <col min="11" max="11" width="12.7109375" style="50" customWidth="1"/>
    <col min="12" max="14" width="9.28515625" customWidth="1"/>
  </cols>
  <sheetData>
    <row r="1" spans="1:14" ht="33" customHeight="1" x14ac:dyDescent="0.25">
      <c r="A1" s="75"/>
      <c r="B1" s="80" t="s">
        <v>42</v>
      </c>
      <c r="C1" s="82"/>
      <c r="D1" s="83" t="s">
        <v>54</v>
      </c>
      <c r="E1" s="82"/>
      <c r="F1" s="80" t="s">
        <v>53</v>
      </c>
      <c r="G1" s="81"/>
      <c r="H1" s="80" t="s">
        <v>56</v>
      </c>
      <c r="I1" s="81"/>
      <c r="J1" s="80" t="s">
        <v>43</v>
      </c>
      <c r="K1" s="81"/>
      <c r="L1" s="1"/>
      <c r="M1" s="1"/>
      <c r="N1" s="1"/>
    </row>
    <row r="2" spans="1:14" ht="28.15" customHeight="1" x14ac:dyDescent="0.25">
      <c r="A2" s="76"/>
      <c r="B2" s="77" t="s">
        <v>0</v>
      </c>
      <c r="C2" s="77" t="s">
        <v>1</v>
      </c>
      <c r="D2" s="77" t="s">
        <v>0</v>
      </c>
      <c r="E2" s="77" t="s">
        <v>1</v>
      </c>
      <c r="F2" s="77" t="s">
        <v>0</v>
      </c>
      <c r="G2" s="77" t="s">
        <v>1</v>
      </c>
      <c r="H2" s="77" t="s">
        <v>0</v>
      </c>
      <c r="I2" s="77" t="s">
        <v>1</v>
      </c>
      <c r="J2" s="77" t="s">
        <v>0</v>
      </c>
      <c r="K2" s="77" t="s">
        <v>1</v>
      </c>
      <c r="L2" s="1"/>
      <c r="M2" s="1"/>
      <c r="N2" s="1"/>
    </row>
    <row r="3" spans="1:14" ht="39.75" customHeight="1" x14ac:dyDescent="0.25">
      <c r="A3" s="52">
        <v>1</v>
      </c>
      <c r="B3" s="62" t="s">
        <v>37</v>
      </c>
      <c r="C3" s="63">
        <v>0.1</v>
      </c>
      <c r="D3" s="62" t="s">
        <v>37</v>
      </c>
      <c r="E3" s="63">
        <v>0.15</v>
      </c>
      <c r="F3" s="53" t="s">
        <v>36</v>
      </c>
      <c r="G3" s="63">
        <v>0.15</v>
      </c>
      <c r="H3" s="53" t="s">
        <v>36</v>
      </c>
      <c r="I3" s="63">
        <v>0.1</v>
      </c>
      <c r="J3" s="53" t="s">
        <v>36</v>
      </c>
      <c r="K3" s="63">
        <v>0.1</v>
      </c>
      <c r="L3" s="1"/>
      <c r="M3" s="1"/>
      <c r="N3" s="1"/>
    </row>
    <row r="4" spans="1:14" ht="39.75" customHeight="1" x14ac:dyDescent="0.25">
      <c r="A4" s="52">
        <v>2</v>
      </c>
      <c r="B4" s="62" t="s">
        <v>51</v>
      </c>
      <c r="C4" s="63">
        <v>0.4</v>
      </c>
      <c r="D4" s="62" t="s">
        <v>51</v>
      </c>
      <c r="E4" s="63">
        <v>0.2</v>
      </c>
      <c r="F4" s="62" t="s">
        <v>51</v>
      </c>
      <c r="G4" s="63">
        <v>0.2</v>
      </c>
      <c r="H4" s="62" t="s">
        <v>51</v>
      </c>
      <c r="I4" s="63">
        <v>0.2</v>
      </c>
      <c r="J4" s="62" t="s">
        <v>51</v>
      </c>
      <c r="K4" s="63">
        <v>0.1</v>
      </c>
      <c r="L4" s="1"/>
      <c r="M4" s="1"/>
      <c r="N4" s="1"/>
    </row>
    <row r="5" spans="1:14" ht="39.75" customHeight="1" x14ac:dyDescent="0.25">
      <c r="A5" s="52">
        <v>3</v>
      </c>
      <c r="B5" s="62" t="s">
        <v>52</v>
      </c>
      <c r="C5" s="63">
        <v>0.25</v>
      </c>
      <c r="D5" s="53" t="s">
        <v>44</v>
      </c>
      <c r="E5" s="63">
        <v>0.2</v>
      </c>
      <c r="F5" s="53" t="s">
        <v>55</v>
      </c>
      <c r="G5" s="63">
        <v>0.2</v>
      </c>
      <c r="H5" s="53" t="s">
        <v>55</v>
      </c>
      <c r="I5" s="63">
        <v>0.2</v>
      </c>
      <c r="J5" s="53" t="s">
        <v>55</v>
      </c>
      <c r="K5" s="63">
        <v>0.15</v>
      </c>
      <c r="L5" s="1"/>
      <c r="M5" s="1"/>
      <c r="N5" s="1"/>
    </row>
    <row r="6" spans="1:14" ht="39.75" customHeight="1" x14ac:dyDescent="0.25">
      <c r="A6" s="52">
        <v>4</v>
      </c>
      <c r="B6" s="53" t="s">
        <v>38</v>
      </c>
      <c r="C6" s="63">
        <v>0.1</v>
      </c>
      <c r="D6" s="62" t="s">
        <v>52</v>
      </c>
      <c r="E6" s="63">
        <v>0.1</v>
      </c>
      <c r="F6" s="53" t="s">
        <v>52</v>
      </c>
      <c r="G6" s="63">
        <v>0.15</v>
      </c>
      <c r="H6" s="53" t="s">
        <v>52</v>
      </c>
      <c r="I6" s="63">
        <v>0.15</v>
      </c>
      <c r="J6" s="53" t="s">
        <v>52</v>
      </c>
      <c r="K6" s="63">
        <v>0.1</v>
      </c>
      <c r="L6" s="1"/>
      <c r="M6" s="1"/>
      <c r="N6" s="1"/>
    </row>
    <row r="7" spans="1:14" ht="39.75" customHeight="1" x14ac:dyDescent="0.25">
      <c r="A7" s="52">
        <v>5</v>
      </c>
      <c r="B7" s="53" t="s">
        <v>34</v>
      </c>
      <c r="C7" s="63">
        <v>0.15</v>
      </c>
      <c r="D7" s="53" t="s">
        <v>38</v>
      </c>
      <c r="E7" s="63">
        <v>0.15</v>
      </c>
      <c r="F7" s="53" t="s">
        <v>38</v>
      </c>
      <c r="G7" s="63">
        <v>0.1</v>
      </c>
      <c r="H7" s="53" t="s">
        <v>33</v>
      </c>
      <c r="I7" s="63">
        <v>0.15</v>
      </c>
      <c r="J7" s="53" t="s">
        <v>57</v>
      </c>
      <c r="K7" s="63">
        <v>0.2</v>
      </c>
      <c r="L7" s="1"/>
      <c r="M7" s="1"/>
      <c r="N7" s="1"/>
    </row>
    <row r="8" spans="1:14" ht="39.75" customHeight="1" x14ac:dyDescent="0.25">
      <c r="A8" s="52">
        <v>6</v>
      </c>
      <c r="B8" s="53"/>
      <c r="C8" s="63"/>
      <c r="D8" s="53" t="s">
        <v>34</v>
      </c>
      <c r="E8" s="63">
        <v>0.2</v>
      </c>
      <c r="F8" s="53" t="s">
        <v>45</v>
      </c>
      <c r="G8" s="63">
        <v>0.2</v>
      </c>
      <c r="H8" s="53" t="s">
        <v>45</v>
      </c>
      <c r="I8" s="63">
        <v>0.2</v>
      </c>
      <c r="J8" s="53" t="s">
        <v>58</v>
      </c>
      <c r="K8" s="63">
        <v>0.2</v>
      </c>
      <c r="L8" s="1"/>
      <c r="M8" s="1"/>
      <c r="N8" s="1"/>
    </row>
    <row r="9" spans="1:14" ht="39.75" customHeight="1" x14ac:dyDescent="0.25">
      <c r="A9" s="52">
        <v>7</v>
      </c>
      <c r="B9" s="62"/>
      <c r="C9" s="63"/>
      <c r="D9" s="53"/>
      <c r="E9" s="63"/>
      <c r="F9" s="53"/>
      <c r="G9" s="63"/>
      <c r="H9" s="53"/>
      <c r="I9" s="63"/>
      <c r="J9" s="53" t="s">
        <v>45</v>
      </c>
      <c r="K9" s="63">
        <v>0.15</v>
      </c>
      <c r="L9" s="1"/>
      <c r="M9" s="1"/>
      <c r="N9" s="1"/>
    </row>
    <row r="10" spans="1:14" ht="39.75" customHeight="1" x14ac:dyDescent="0.25">
      <c r="A10" s="52">
        <v>8</v>
      </c>
      <c r="B10" s="62"/>
      <c r="C10" s="63"/>
      <c r="D10" s="53"/>
      <c r="E10" s="63"/>
      <c r="F10" s="53"/>
      <c r="G10" s="63"/>
      <c r="H10" s="53"/>
      <c r="I10" s="63"/>
      <c r="J10" s="53"/>
      <c r="K10" s="63"/>
      <c r="L10" s="1"/>
      <c r="M10" s="1"/>
      <c r="N10" s="1"/>
    </row>
    <row r="11" spans="1:14" ht="39.75" customHeight="1" x14ac:dyDescent="0.25">
      <c r="A11" s="52">
        <v>9</v>
      </c>
      <c r="B11" s="54"/>
      <c r="C11" s="63"/>
      <c r="D11" s="53"/>
      <c r="E11" s="55"/>
      <c r="F11" s="53"/>
      <c r="G11" s="55"/>
      <c r="H11" s="53"/>
      <c r="I11" s="55"/>
      <c r="J11" s="53"/>
      <c r="K11" s="55"/>
      <c r="L11" s="1"/>
      <c r="M11" s="1"/>
      <c r="N11" s="1"/>
    </row>
    <row r="12" spans="1:14" ht="39.75" customHeight="1" x14ac:dyDescent="0.25">
      <c r="A12" s="52">
        <v>10</v>
      </c>
      <c r="B12" s="53"/>
      <c r="C12" s="63"/>
      <c r="D12" s="53"/>
      <c r="E12" s="55"/>
      <c r="F12" s="54"/>
      <c r="G12" s="55"/>
      <c r="H12" s="54"/>
      <c r="I12" s="55"/>
      <c r="J12" s="54"/>
      <c r="K12" s="55"/>
      <c r="L12" s="1"/>
      <c r="M12" s="1"/>
      <c r="N12" s="1"/>
    </row>
    <row r="13" spans="1:14" ht="39.75" customHeight="1" x14ac:dyDescent="0.25">
      <c r="A13" s="56"/>
      <c r="B13" s="57" t="s">
        <v>2</v>
      </c>
      <c r="C13" s="64">
        <f>SUM(C3:C12)</f>
        <v>1</v>
      </c>
      <c r="D13" s="57" t="s">
        <v>2</v>
      </c>
      <c r="E13" s="64">
        <f>SUM(E3:E12)</f>
        <v>1</v>
      </c>
      <c r="F13" s="57" t="s">
        <v>2</v>
      </c>
      <c r="G13" s="64">
        <f>SUM(G3:G12)</f>
        <v>1</v>
      </c>
      <c r="H13" s="57" t="s">
        <v>2</v>
      </c>
      <c r="I13" s="64">
        <f>SUM(I3:I12)</f>
        <v>1</v>
      </c>
      <c r="J13" s="57" t="s">
        <v>2</v>
      </c>
      <c r="K13" s="64">
        <f>SUM(K3:K12)</f>
        <v>0.99999999999999989</v>
      </c>
      <c r="L13" s="1"/>
      <c r="M13" s="1"/>
      <c r="N13" s="1"/>
    </row>
    <row r="14" spans="1:14" ht="39.75" customHeight="1" x14ac:dyDescent="0.25">
      <c r="A14" s="58"/>
      <c r="B14" s="58"/>
      <c r="C14" s="59"/>
      <c r="F14" s="58"/>
      <c r="G14" s="59"/>
      <c r="H14" s="58"/>
      <c r="I14" s="59"/>
      <c r="J14" s="58"/>
      <c r="K14" s="59"/>
      <c r="L14" s="1"/>
      <c r="M14" s="1"/>
      <c r="N14" s="1"/>
    </row>
    <row r="15" spans="1:14" ht="39.75" customHeight="1" x14ac:dyDescent="0.25">
      <c r="A15" s="58"/>
      <c r="B15" s="58"/>
      <c r="C15" s="59"/>
      <c r="F15" s="58"/>
      <c r="G15" s="59"/>
      <c r="H15" s="58"/>
      <c r="I15" s="59"/>
      <c r="J15" s="58"/>
      <c r="K15" s="59"/>
      <c r="L15" s="1"/>
      <c r="M15" s="1"/>
      <c r="N15" s="1"/>
    </row>
    <row r="16" spans="1:14" ht="39.75" customHeight="1" x14ac:dyDescent="0.25">
      <c r="A16" s="58"/>
      <c r="B16" s="58"/>
      <c r="C16" s="59"/>
      <c r="F16" s="58"/>
      <c r="G16" s="59"/>
      <c r="H16" s="58"/>
      <c r="I16" s="59"/>
      <c r="J16" s="58"/>
      <c r="K16" s="59"/>
      <c r="L16" s="1"/>
      <c r="M16" s="1"/>
      <c r="N16" s="1"/>
    </row>
    <row r="17" spans="1:14" ht="39.75" customHeight="1" x14ac:dyDescent="0.25">
      <c r="A17" s="58"/>
      <c r="B17" s="58"/>
      <c r="C17" s="59"/>
      <c r="F17" s="58"/>
      <c r="G17" s="59"/>
      <c r="H17" s="58"/>
      <c r="I17" s="59"/>
      <c r="J17" s="58"/>
      <c r="K17" s="59"/>
      <c r="L17" s="1"/>
      <c r="M17" s="1"/>
      <c r="N17" s="1"/>
    </row>
    <row r="18" spans="1:14" ht="39.75" customHeight="1" x14ac:dyDescent="0.25">
      <c r="A18" s="58"/>
      <c r="B18" s="58"/>
      <c r="C18" s="59"/>
      <c r="F18" s="58"/>
      <c r="G18" s="59"/>
      <c r="H18" s="58"/>
      <c r="I18" s="59"/>
      <c r="J18" s="58"/>
      <c r="K18" s="59"/>
      <c r="L18" s="1"/>
      <c r="M18" s="1"/>
      <c r="N18" s="1"/>
    </row>
    <row r="19" spans="1:14" ht="39.75" customHeight="1" x14ac:dyDescent="0.25">
      <c r="A19" s="58"/>
      <c r="B19" s="58"/>
      <c r="C19" s="59"/>
      <c r="F19" s="58"/>
      <c r="G19" s="59"/>
      <c r="H19" s="58"/>
      <c r="I19" s="59"/>
      <c r="J19" s="58"/>
      <c r="K19" s="59"/>
      <c r="L19" s="1"/>
      <c r="M19" s="1"/>
      <c r="N19" s="1"/>
    </row>
    <row r="20" spans="1:14" ht="39.75" customHeight="1" x14ac:dyDescent="0.25">
      <c r="A20" s="58"/>
      <c r="B20" s="58"/>
      <c r="C20" s="59"/>
      <c r="F20" s="58"/>
      <c r="G20" s="59"/>
      <c r="H20" s="58"/>
      <c r="I20" s="59"/>
      <c r="J20" s="58"/>
      <c r="K20" s="59"/>
      <c r="L20" s="1"/>
      <c r="M20" s="1"/>
      <c r="N20" s="1"/>
    </row>
    <row r="21" spans="1:14" ht="39.75" customHeight="1" x14ac:dyDescent="0.25">
      <c r="A21" s="58"/>
      <c r="B21" s="58"/>
      <c r="C21" s="59"/>
      <c r="F21" s="58"/>
      <c r="G21" s="59"/>
      <c r="H21" s="58"/>
      <c r="I21" s="59"/>
      <c r="J21" s="58"/>
      <c r="K21" s="59"/>
      <c r="L21" s="1"/>
      <c r="M21" s="1"/>
      <c r="N21" s="1"/>
    </row>
    <row r="22" spans="1:14" ht="39.75" customHeight="1" x14ac:dyDescent="0.25">
      <c r="A22" s="58"/>
      <c r="B22" s="58"/>
      <c r="C22" s="59"/>
      <c r="F22" s="58"/>
      <c r="G22" s="59"/>
      <c r="H22" s="58"/>
      <c r="I22" s="59"/>
      <c r="J22" s="58"/>
      <c r="K22" s="59"/>
      <c r="L22" s="1"/>
      <c r="M22" s="1"/>
      <c r="N22" s="1"/>
    </row>
    <row r="23" spans="1:14" ht="39.75" customHeight="1" x14ac:dyDescent="0.25">
      <c r="A23" s="58"/>
      <c r="B23" s="58"/>
      <c r="C23" s="59"/>
      <c r="F23" s="58"/>
      <c r="G23" s="59"/>
      <c r="H23" s="58"/>
      <c r="I23" s="59"/>
      <c r="J23" s="58"/>
      <c r="K23" s="59"/>
      <c r="L23" s="1"/>
      <c r="M23" s="1"/>
      <c r="N23" s="1"/>
    </row>
    <row r="24" spans="1:14" ht="39.75" customHeight="1" x14ac:dyDescent="0.25">
      <c r="A24" s="58"/>
      <c r="B24" s="58"/>
      <c r="C24" s="59"/>
      <c r="F24" s="58"/>
      <c r="G24" s="59"/>
      <c r="H24" s="58"/>
      <c r="I24" s="59"/>
      <c r="J24" s="58"/>
      <c r="K24" s="59"/>
      <c r="L24" s="3"/>
      <c r="M24" s="3"/>
      <c r="N24" s="3"/>
    </row>
    <row r="25" spans="1:14" ht="39.75" customHeight="1" x14ac:dyDescent="0.25">
      <c r="L25" s="3"/>
      <c r="M25" s="3"/>
      <c r="N25" s="3"/>
    </row>
    <row r="26" spans="1:14" ht="39.75" customHeight="1" x14ac:dyDescent="0.25">
      <c r="L26" s="3"/>
      <c r="M26" s="3"/>
      <c r="N26" s="3"/>
    </row>
    <row r="27" spans="1:14" ht="14.25" customHeight="1" x14ac:dyDescent="0.25">
      <c r="L27" s="3"/>
      <c r="M27" s="3"/>
      <c r="N27" s="3"/>
    </row>
    <row r="28" spans="1:14" ht="14.25" customHeight="1" x14ac:dyDescent="0.25">
      <c r="L28" s="3"/>
      <c r="M28" s="3"/>
      <c r="N28" s="3"/>
    </row>
    <row r="29" spans="1:14" ht="14.25" customHeight="1" x14ac:dyDescent="0.25">
      <c r="L29" s="3"/>
      <c r="M29" s="3"/>
      <c r="N29" s="3"/>
    </row>
    <row r="30" spans="1:14" ht="14.25" customHeight="1" x14ac:dyDescent="0.25">
      <c r="L30" s="3"/>
      <c r="M30" s="3"/>
      <c r="N30" s="3"/>
    </row>
    <row r="31" spans="1:14" ht="14.25" customHeight="1" x14ac:dyDescent="0.25">
      <c r="L31" s="3"/>
      <c r="M31" s="3"/>
      <c r="N31" s="3"/>
    </row>
    <row r="32" spans="1:14" ht="14.25" customHeight="1" x14ac:dyDescent="0.25">
      <c r="L32" s="3"/>
      <c r="M32" s="3"/>
      <c r="N32" s="3"/>
    </row>
    <row r="33" spans="12:14" ht="14.25" customHeight="1" x14ac:dyDescent="0.25">
      <c r="L33" s="3"/>
      <c r="M33" s="3"/>
      <c r="N33" s="3"/>
    </row>
    <row r="34" spans="12:14" ht="14.25" customHeight="1" x14ac:dyDescent="0.25">
      <c r="L34" s="3"/>
      <c r="M34" s="3"/>
      <c r="N34" s="3"/>
    </row>
    <row r="35" spans="12:14" ht="14.25" customHeight="1" x14ac:dyDescent="0.25">
      <c r="L35" s="3"/>
      <c r="M35" s="3"/>
      <c r="N35" s="3"/>
    </row>
    <row r="36" spans="12:14" ht="14.25" customHeight="1" x14ac:dyDescent="0.25">
      <c r="L36" s="3"/>
      <c r="M36" s="3"/>
      <c r="N36" s="3"/>
    </row>
    <row r="37" spans="12:14" ht="14.25" customHeight="1" x14ac:dyDescent="0.25">
      <c r="L37" s="3"/>
      <c r="M37" s="3"/>
      <c r="N37" s="3"/>
    </row>
    <row r="38" spans="12:14" ht="14.25" customHeight="1" x14ac:dyDescent="0.25">
      <c r="L38" s="3"/>
      <c r="M38" s="3"/>
      <c r="N38" s="3"/>
    </row>
    <row r="39" spans="12:14" ht="14.25" customHeight="1" x14ac:dyDescent="0.25">
      <c r="L39" s="3"/>
      <c r="M39" s="3"/>
      <c r="N39" s="3"/>
    </row>
    <row r="40" spans="12:14" ht="14.25" customHeight="1" x14ac:dyDescent="0.25">
      <c r="L40" s="3"/>
      <c r="M40" s="3"/>
      <c r="N40" s="3"/>
    </row>
    <row r="41" spans="12:14" ht="14.25" customHeight="1" x14ac:dyDescent="0.25">
      <c r="L41" s="3"/>
      <c r="M41" s="3"/>
      <c r="N41" s="3"/>
    </row>
    <row r="42" spans="12:14" ht="14.25" customHeight="1" x14ac:dyDescent="0.25">
      <c r="L42" s="3"/>
      <c r="M42" s="3"/>
      <c r="N42" s="3"/>
    </row>
    <row r="43" spans="12:14" ht="14.25" customHeight="1" x14ac:dyDescent="0.25">
      <c r="L43" s="3"/>
      <c r="M43" s="3"/>
      <c r="N43" s="3"/>
    </row>
    <row r="44" spans="12:14" ht="14.25" customHeight="1" x14ac:dyDescent="0.25">
      <c r="L44" s="3"/>
      <c r="M44" s="3"/>
      <c r="N44" s="3"/>
    </row>
    <row r="45" spans="12:14" ht="14.25" customHeight="1" x14ac:dyDescent="0.25">
      <c r="L45" s="3"/>
      <c r="M45" s="3"/>
      <c r="N45" s="3"/>
    </row>
    <row r="46" spans="12:14" ht="14.25" customHeight="1" x14ac:dyDescent="0.25">
      <c r="L46" s="3"/>
      <c r="M46" s="3"/>
      <c r="N46" s="3"/>
    </row>
    <row r="47" spans="12:14" ht="14.25" customHeight="1" x14ac:dyDescent="0.25">
      <c r="L47" s="3"/>
      <c r="M47" s="3"/>
      <c r="N47" s="3"/>
    </row>
    <row r="48" spans="12:14" ht="14.25" customHeight="1" x14ac:dyDescent="0.25">
      <c r="L48" s="3"/>
      <c r="M48" s="3"/>
      <c r="N48" s="3"/>
    </row>
    <row r="49" spans="12:14" ht="14.25" customHeight="1" x14ac:dyDescent="0.25">
      <c r="L49" s="3"/>
      <c r="M49" s="3"/>
      <c r="N49" s="3"/>
    </row>
    <row r="50" spans="12:14" ht="14.25" customHeight="1" x14ac:dyDescent="0.25">
      <c r="L50" s="3"/>
      <c r="M50" s="3"/>
      <c r="N50" s="3"/>
    </row>
    <row r="51" spans="12:14" ht="14.25" customHeight="1" x14ac:dyDescent="0.25">
      <c r="L51" s="3"/>
      <c r="M51" s="3"/>
      <c r="N51" s="3"/>
    </row>
    <row r="52" spans="12:14" ht="14.25" customHeight="1" x14ac:dyDescent="0.25">
      <c r="L52" s="3"/>
      <c r="M52" s="3"/>
      <c r="N52" s="3"/>
    </row>
    <row r="53" spans="12:14" ht="14.25" customHeight="1" x14ac:dyDescent="0.25">
      <c r="L53" s="3"/>
      <c r="M53" s="3"/>
      <c r="N53" s="3"/>
    </row>
    <row r="54" spans="12:14" ht="14.25" customHeight="1" x14ac:dyDescent="0.25">
      <c r="L54" s="3"/>
      <c r="M54" s="3"/>
      <c r="N54" s="3"/>
    </row>
    <row r="55" spans="12:14" ht="14.25" customHeight="1" x14ac:dyDescent="0.25">
      <c r="L55" s="3"/>
      <c r="M55" s="3"/>
      <c r="N55" s="3"/>
    </row>
    <row r="56" spans="12:14" ht="14.25" customHeight="1" x14ac:dyDescent="0.25">
      <c r="L56" s="3"/>
      <c r="M56" s="3"/>
      <c r="N56" s="3"/>
    </row>
    <row r="57" spans="12:14" ht="14.25" customHeight="1" x14ac:dyDescent="0.25">
      <c r="L57" s="3"/>
      <c r="M57" s="3"/>
      <c r="N57" s="3"/>
    </row>
    <row r="58" spans="12:14" ht="14.25" customHeight="1" x14ac:dyDescent="0.25">
      <c r="L58" s="3"/>
      <c r="M58" s="3"/>
      <c r="N58" s="3"/>
    </row>
    <row r="59" spans="12:14" ht="14.25" customHeight="1" x14ac:dyDescent="0.25">
      <c r="L59" s="3"/>
      <c r="M59" s="3"/>
      <c r="N59" s="3"/>
    </row>
    <row r="60" spans="12:14" ht="14.25" customHeight="1" x14ac:dyDescent="0.25">
      <c r="L60" s="3"/>
      <c r="M60" s="3"/>
      <c r="N60" s="3"/>
    </row>
    <row r="61" spans="12:14" ht="14.25" customHeight="1" x14ac:dyDescent="0.25">
      <c r="L61" s="3"/>
      <c r="M61" s="3"/>
      <c r="N61" s="3"/>
    </row>
    <row r="62" spans="12:14" ht="14.25" customHeight="1" x14ac:dyDescent="0.25">
      <c r="L62" s="3"/>
      <c r="M62" s="3"/>
      <c r="N62" s="3"/>
    </row>
    <row r="63" spans="12:14" ht="14.25" customHeight="1" x14ac:dyDescent="0.25">
      <c r="L63" s="3"/>
      <c r="M63" s="3"/>
      <c r="N63" s="3"/>
    </row>
    <row r="64" spans="12:14" ht="14.25" customHeight="1" x14ac:dyDescent="0.25">
      <c r="L64" s="3"/>
      <c r="M64" s="3"/>
      <c r="N64" s="3"/>
    </row>
    <row r="65" spans="12:14" ht="14.25" customHeight="1" x14ac:dyDescent="0.25">
      <c r="L65" s="3"/>
      <c r="M65" s="3"/>
      <c r="N65" s="3"/>
    </row>
    <row r="66" spans="12:14" ht="14.25" customHeight="1" x14ac:dyDescent="0.25">
      <c r="L66" s="3"/>
      <c r="M66" s="3"/>
      <c r="N66" s="3"/>
    </row>
    <row r="67" spans="12:14" ht="14.25" customHeight="1" x14ac:dyDescent="0.25">
      <c r="L67" s="3"/>
      <c r="M67" s="3"/>
      <c r="N67" s="3"/>
    </row>
    <row r="68" spans="12:14" ht="14.25" customHeight="1" x14ac:dyDescent="0.25">
      <c r="L68" s="3"/>
      <c r="M68" s="3"/>
      <c r="N68" s="3"/>
    </row>
    <row r="69" spans="12:14" ht="14.25" customHeight="1" x14ac:dyDescent="0.25">
      <c r="L69" s="3"/>
      <c r="M69" s="3"/>
      <c r="N69" s="3"/>
    </row>
    <row r="70" spans="12:14" ht="14.25" customHeight="1" x14ac:dyDescent="0.25">
      <c r="L70" s="3"/>
      <c r="M70" s="3"/>
      <c r="N70" s="3"/>
    </row>
    <row r="71" spans="12:14" ht="14.25" customHeight="1" x14ac:dyDescent="0.25">
      <c r="L71" s="3"/>
      <c r="M71" s="3"/>
      <c r="N71" s="3"/>
    </row>
    <row r="72" spans="12:14" ht="14.25" customHeight="1" x14ac:dyDescent="0.25">
      <c r="L72" s="3"/>
      <c r="M72" s="3"/>
      <c r="N72" s="3"/>
    </row>
    <row r="73" spans="12:14" ht="14.25" customHeight="1" x14ac:dyDescent="0.25">
      <c r="L73" s="3"/>
      <c r="M73" s="3"/>
      <c r="N73" s="3"/>
    </row>
    <row r="74" spans="12:14" ht="14.25" customHeight="1" x14ac:dyDescent="0.25">
      <c r="L74" s="3"/>
      <c r="M74" s="3"/>
      <c r="N74" s="3"/>
    </row>
    <row r="75" spans="12:14" ht="14.25" customHeight="1" x14ac:dyDescent="0.25">
      <c r="L75" s="3"/>
      <c r="M75" s="3"/>
      <c r="N75" s="3"/>
    </row>
    <row r="76" spans="12:14" ht="14.25" customHeight="1" x14ac:dyDescent="0.25">
      <c r="L76" s="3"/>
      <c r="M76" s="3"/>
      <c r="N76" s="3"/>
    </row>
    <row r="77" spans="12:14" ht="14.25" customHeight="1" x14ac:dyDescent="0.25">
      <c r="L77" s="3"/>
      <c r="M77" s="3"/>
      <c r="N77" s="3"/>
    </row>
    <row r="78" spans="12:14" ht="14.25" customHeight="1" x14ac:dyDescent="0.25">
      <c r="L78" s="3"/>
      <c r="M78" s="3"/>
      <c r="N78" s="3"/>
    </row>
    <row r="79" spans="12:14" ht="14.25" customHeight="1" x14ac:dyDescent="0.25">
      <c r="L79" s="3"/>
      <c r="M79" s="3"/>
      <c r="N79" s="3"/>
    </row>
    <row r="80" spans="12:14" ht="14.25" customHeight="1" x14ac:dyDescent="0.25">
      <c r="L80" s="3"/>
      <c r="M80" s="3"/>
      <c r="N80" s="3"/>
    </row>
    <row r="81" spans="12:14" ht="14.25" customHeight="1" x14ac:dyDescent="0.25">
      <c r="L81" s="3"/>
      <c r="M81" s="3"/>
      <c r="N81" s="3"/>
    </row>
    <row r="82" spans="12:14" ht="14.25" customHeight="1" x14ac:dyDescent="0.25">
      <c r="L82" s="3"/>
      <c r="M82" s="3"/>
      <c r="N82" s="3"/>
    </row>
    <row r="83" spans="12:14" ht="14.25" customHeight="1" x14ac:dyDescent="0.25">
      <c r="L83" s="3"/>
      <c r="M83" s="3"/>
      <c r="N83" s="3"/>
    </row>
    <row r="84" spans="12:14" ht="14.25" customHeight="1" x14ac:dyDescent="0.25">
      <c r="L84" s="3"/>
      <c r="M84" s="3"/>
      <c r="N84" s="3"/>
    </row>
    <row r="85" spans="12:14" ht="14.25" customHeight="1" x14ac:dyDescent="0.25">
      <c r="L85" s="3"/>
      <c r="M85" s="3"/>
      <c r="N85" s="3"/>
    </row>
    <row r="86" spans="12:14" ht="14.25" customHeight="1" x14ac:dyDescent="0.25">
      <c r="L86" s="3"/>
      <c r="M86" s="3"/>
      <c r="N86" s="3"/>
    </row>
    <row r="87" spans="12:14" ht="14.25" customHeight="1" x14ac:dyDescent="0.25">
      <c r="L87" s="3"/>
      <c r="M87" s="3"/>
      <c r="N87" s="3"/>
    </row>
    <row r="88" spans="12:14" ht="14.25" customHeight="1" x14ac:dyDescent="0.25">
      <c r="L88" s="3"/>
      <c r="M88" s="3"/>
      <c r="N88" s="3"/>
    </row>
    <row r="89" spans="12:14" ht="14.25" customHeight="1" x14ac:dyDescent="0.25">
      <c r="L89" s="3"/>
      <c r="M89" s="3"/>
      <c r="N89" s="3"/>
    </row>
    <row r="90" spans="12:14" ht="14.25" customHeight="1" x14ac:dyDescent="0.25">
      <c r="L90" s="3"/>
      <c r="M90" s="3"/>
      <c r="N90" s="3"/>
    </row>
    <row r="91" spans="12:14" ht="14.25" customHeight="1" x14ac:dyDescent="0.25">
      <c r="L91" s="3"/>
      <c r="M91" s="3"/>
      <c r="N91" s="3"/>
    </row>
    <row r="92" spans="12:14" ht="14.25" customHeight="1" x14ac:dyDescent="0.25">
      <c r="L92" s="3"/>
      <c r="M92" s="3"/>
      <c r="N92" s="3"/>
    </row>
    <row r="93" spans="12:14" ht="14.25" customHeight="1" x14ac:dyDescent="0.25">
      <c r="L93" s="3"/>
      <c r="M93" s="3"/>
      <c r="N93" s="3"/>
    </row>
    <row r="94" spans="12:14" ht="14.25" customHeight="1" x14ac:dyDescent="0.25">
      <c r="L94" s="3"/>
      <c r="M94" s="3"/>
      <c r="N94" s="3"/>
    </row>
    <row r="95" spans="12:14" ht="14.25" customHeight="1" x14ac:dyDescent="0.25">
      <c r="L95" s="3"/>
      <c r="M95" s="3"/>
      <c r="N95" s="3"/>
    </row>
    <row r="96" spans="12:14" ht="14.25" customHeight="1" x14ac:dyDescent="0.25">
      <c r="L96" s="3"/>
      <c r="M96" s="3"/>
      <c r="N96" s="3"/>
    </row>
    <row r="97" spans="12:14" ht="14.25" customHeight="1" x14ac:dyDescent="0.25">
      <c r="L97" s="3"/>
      <c r="M97" s="3"/>
      <c r="N97" s="3"/>
    </row>
    <row r="98" spans="12:14" ht="14.25" customHeight="1" x14ac:dyDescent="0.25">
      <c r="L98" s="3"/>
      <c r="M98" s="3"/>
      <c r="N98" s="3"/>
    </row>
    <row r="99" spans="12:14" ht="14.25" customHeight="1" x14ac:dyDescent="0.25">
      <c r="L99" s="3"/>
      <c r="M99" s="3"/>
      <c r="N99" s="3"/>
    </row>
    <row r="100" spans="12:14" ht="14.25" customHeight="1" x14ac:dyDescent="0.25">
      <c r="L100" s="3"/>
      <c r="M100" s="3"/>
      <c r="N100" s="3"/>
    </row>
    <row r="101" spans="12:14" ht="14.25" customHeight="1" x14ac:dyDescent="0.25">
      <c r="L101" s="3"/>
      <c r="M101" s="3"/>
      <c r="N101" s="3"/>
    </row>
    <row r="102" spans="12:14" ht="14.25" customHeight="1" x14ac:dyDescent="0.25">
      <c r="L102" s="3"/>
      <c r="M102" s="3"/>
      <c r="N102" s="3"/>
    </row>
    <row r="103" spans="12:14" ht="14.25" customHeight="1" x14ac:dyDescent="0.25">
      <c r="L103" s="3"/>
      <c r="M103" s="3"/>
      <c r="N103" s="3"/>
    </row>
    <row r="104" spans="12:14" ht="14.25" customHeight="1" x14ac:dyDescent="0.25">
      <c r="L104" s="3"/>
      <c r="M104" s="3"/>
      <c r="N104" s="3"/>
    </row>
    <row r="105" spans="12:14" ht="14.25" customHeight="1" x14ac:dyDescent="0.25">
      <c r="L105" s="3"/>
      <c r="M105" s="3"/>
      <c r="N105" s="3"/>
    </row>
    <row r="106" spans="12:14" ht="14.25" customHeight="1" x14ac:dyDescent="0.25">
      <c r="L106" s="3"/>
      <c r="M106" s="3"/>
      <c r="N106" s="3"/>
    </row>
    <row r="107" spans="12:14" ht="14.25" customHeight="1" x14ac:dyDescent="0.25">
      <c r="L107" s="3"/>
      <c r="M107" s="3"/>
      <c r="N107" s="3"/>
    </row>
    <row r="108" spans="12:14" ht="14.25" customHeight="1" x14ac:dyDescent="0.25">
      <c r="L108" s="3"/>
      <c r="M108" s="3"/>
      <c r="N108" s="3"/>
    </row>
    <row r="109" spans="12:14" ht="14.25" customHeight="1" x14ac:dyDescent="0.25">
      <c r="L109" s="3"/>
      <c r="M109" s="3"/>
      <c r="N109" s="3"/>
    </row>
    <row r="110" spans="12:14" ht="14.25" customHeight="1" x14ac:dyDescent="0.25">
      <c r="L110" s="3"/>
      <c r="M110" s="3"/>
      <c r="N110" s="3"/>
    </row>
    <row r="111" spans="12:14" ht="14.25" customHeight="1" x14ac:dyDescent="0.25">
      <c r="L111" s="3"/>
      <c r="M111" s="3"/>
      <c r="N111" s="3"/>
    </row>
    <row r="112" spans="12:14" ht="14.25" customHeight="1" x14ac:dyDescent="0.25">
      <c r="L112" s="3"/>
      <c r="M112" s="3"/>
      <c r="N112" s="3"/>
    </row>
    <row r="113" spans="12:14" ht="14.25" customHeight="1" x14ac:dyDescent="0.25">
      <c r="L113" s="3"/>
      <c r="M113" s="3"/>
      <c r="N113" s="3"/>
    </row>
    <row r="114" spans="12:14" ht="14.25" customHeight="1" x14ac:dyDescent="0.25">
      <c r="L114" s="3"/>
      <c r="M114" s="3"/>
      <c r="N114" s="3"/>
    </row>
    <row r="115" spans="12:14" ht="14.25" customHeight="1" x14ac:dyDescent="0.25">
      <c r="L115" s="3"/>
      <c r="M115" s="3"/>
      <c r="N115" s="3"/>
    </row>
    <row r="116" spans="12:14" ht="14.25" customHeight="1" x14ac:dyDescent="0.25">
      <c r="L116" s="3"/>
      <c r="M116" s="3"/>
      <c r="N116" s="3"/>
    </row>
    <row r="117" spans="12:14" ht="14.25" customHeight="1" x14ac:dyDescent="0.25">
      <c r="L117" s="3"/>
      <c r="M117" s="3"/>
      <c r="N117" s="3"/>
    </row>
    <row r="118" spans="12:14" ht="14.25" customHeight="1" x14ac:dyDescent="0.25">
      <c r="L118" s="3"/>
      <c r="M118" s="3"/>
      <c r="N118" s="3"/>
    </row>
    <row r="119" spans="12:14" ht="14.25" customHeight="1" x14ac:dyDescent="0.25">
      <c r="L119" s="3"/>
      <c r="M119" s="3"/>
      <c r="N119" s="3"/>
    </row>
    <row r="120" spans="12:14" ht="14.25" customHeight="1" x14ac:dyDescent="0.25">
      <c r="L120" s="3"/>
      <c r="M120" s="3"/>
      <c r="N120" s="3"/>
    </row>
    <row r="121" spans="12:14" ht="14.25" customHeight="1" x14ac:dyDescent="0.25">
      <c r="L121" s="3"/>
      <c r="M121" s="3"/>
      <c r="N121" s="3"/>
    </row>
    <row r="122" spans="12:14" ht="14.25" customHeight="1" x14ac:dyDescent="0.25">
      <c r="L122" s="3"/>
      <c r="M122" s="3"/>
      <c r="N122" s="3"/>
    </row>
    <row r="123" spans="12:14" ht="14.25" customHeight="1" x14ac:dyDescent="0.25">
      <c r="L123" s="3"/>
      <c r="M123" s="3"/>
      <c r="N123" s="3"/>
    </row>
    <row r="124" spans="12:14" ht="14.25" customHeight="1" x14ac:dyDescent="0.25">
      <c r="L124" s="3"/>
      <c r="M124" s="3"/>
      <c r="N124" s="3"/>
    </row>
    <row r="125" spans="12:14" ht="14.25" customHeight="1" x14ac:dyDescent="0.25">
      <c r="L125" s="3"/>
      <c r="M125" s="3"/>
      <c r="N125" s="3"/>
    </row>
    <row r="126" spans="12:14" ht="14.25" customHeight="1" x14ac:dyDescent="0.25">
      <c r="L126" s="3"/>
      <c r="M126" s="3"/>
      <c r="N126" s="3"/>
    </row>
    <row r="127" spans="12:14" ht="14.25" customHeight="1" x14ac:dyDescent="0.25">
      <c r="L127" s="3"/>
      <c r="M127" s="3"/>
      <c r="N127" s="3"/>
    </row>
    <row r="128" spans="12:14" ht="14.25" customHeight="1" x14ac:dyDescent="0.25">
      <c r="L128" s="3"/>
      <c r="M128" s="3"/>
      <c r="N128" s="3"/>
    </row>
    <row r="129" spans="12:14" ht="14.25" customHeight="1" x14ac:dyDescent="0.25">
      <c r="L129" s="3"/>
      <c r="M129" s="3"/>
      <c r="N129" s="3"/>
    </row>
    <row r="130" spans="12:14" ht="14.25" customHeight="1" x14ac:dyDescent="0.25">
      <c r="L130" s="3"/>
      <c r="M130" s="3"/>
      <c r="N130" s="3"/>
    </row>
    <row r="131" spans="12:14" ht="14.25" customHeight="1" x14ac:dyDescent="0.25">
      <c r="L131" s="3"/>
      <c r="M131" s="3"/>
      <c r="N131" s="3"/>
    </row>
    <row r="132" spans="12:14" ht="14.25" customHeight="1" x14ac:dyDescent="0.25">
      <c r="L132" s="3"/>
      <c r="M132" s="3"/>
      <c r="N132" s="3"/>
    </row>
    <row r="133" spans="12:14" ht="14.25" customHeight="1" x14ac:dyDescent="0.25">
      <c r="L133" s="3"/>
      <c r="M133" s="3"/>
      <c r="N133" s="3"/>
    </row>
    <row r="134" spans="12:14" ht="14.25" customHeight="1" x14ac:dyDescent="0.25">
      <c r="L134" s="3"/>
      <c r="M134" s="3"/>
      <c r="N134" s="3"/>
    </row>
    <row r="135" spans="12:14" ht="14.25" customHeight="1" x14ac:dyDescent="0.25">
      <c r="L135" s="3"/>
      <c r="M135" s="3"/>
      <c r="N135" s="3"/>
    </row>
    <row r="136" spans="12:14" ht="14.25" customHeight="1" x14ac:dyDescent="0.25">
      <c r="L136" s="3"/>
      <c r="M136" s="3"/>
      <c r="N136" s="3"/>
    </row>
    <row r="137" spans="12:14" ht="14.25" customHeight="1" x14ac:dyDescent="0.25">
      <c r="L137" s="3"/>
      <c r="M137" s="3"/>
      <c r="N137" s="3"/>
    </row>
    <row r="138" spans="12:14" ht="14.25" customHeight="1" x14ac:dyDescent="0.25">
      <c r="L138" s="3"/>
      <c r="M138" s="3"/>
      <c r="N138" s="3"/>
    </row>
    <row r="139" spans="12:14" ht="14.25" customHeight="1" x14ac:dyDescent="0.25">
      <c r="L139" s="3"/>
      <c r="M139" s="3"/>
      <c r="N139" s="3"/>
    </row>
    <row r="140" spans="12:14" ht="14.25" customHeight="1" x14ac:dyDescent="0.25">
      <c r="L140" s="3"/>
      <c r="M140" s="3"/>
      <c r="N140" s="3"/>
    </row>
    <row r="141" spans="12:14" ht="14.25" customHeight="1" x14ac:dyDescent="0.25">
      <c r="L141" s="3"/>
      <c r="M141" s="3"/>
      <c r="N141" s="3"/>
    </row>
    <row r="142" spans="12:14" ht="14.25" customHeight="1" x14ac:dyDescent="0.25">
      <c r="L142" s="3"/>
      <c r="M142" s="3"/>
      <c r="N142" s="3"/>
    </row>
    <row r="143" spans="12:14" ht="14.25" customHeight="1" x14ac:dyDescent="0.25">
      <c r="L143" s="3"/>
      <c r="M143" s="3"/>
      <c r="N143" s="3"/>
    </row>
    <row r="144" spans="12:14" ht="14.25" customHeight="1" x14ac:dyDescent="0.25">
      <c r="L144" s="3"/>
      <c r="M144" s="3"/>
      <c r="N144" s="3"/>
    </row>
    <row r="145" spans="12:14" ht="14.25" customHeight="1" x14ac:dyDescent="0.25">
      <c r="L145" s="3"/>
      <c r="M145" s="3"/>
      <c r="N145" s="3"/>
    </row>
    <row r="146" spans="12:14" ht="14.25" customHeight="1" x14ac:dyDescent="0.25">
      <c r="L146" s="3"/>
      <c r="M146" s="3"/>
      <c r="N146" s="3"/>
    </row>
    <row r="147" spans="12:14" ht="14.25" customHeight="1" x14ac:dyDescent="0.25">
      <c r="L147" s="3"/>
      <c r="M147" s="3"/>
      <c r="N147" s="3"/>
    </row>
    <row r="148" spans="12:14" ht="14.25" customHeight="1" x14ac:dyDescent="0.25">
      <c r="L148" s="3"/>
      <c r="M148" s="3"/>
      <c r="N148" s="3"/>
    </row>
    <row r="149" spans="12:14" ht="14.25" customHeight="1" x14ac:dyDescent="0.25">
      <c r="L149" s="3"/>
      <c r="M149" s="3"/>
      <c r="N149" s="3"/>
    </row>
    <row r="150" spans="12:14" ht="14.25" customHeight="1" x14ac:dyDescent="0.25">
      <c r="L150" s="3"/>
      <c r="M150" s="3"/>
      <c r="N150" s="3"/>
    </row>
    <row r="151" spans="12:14" ht="14.25" customHeight="1" x14ac:dyDescent="0.25">
      <c r="L151" s="3"/>
      <c r="M151" s="3"/>
      <c r="N151" s="3"/>
    </row>
    <row r="152" spans="12:14" ht="14.25" customHeight="1" x14ac:dyDescent="0.25">
      <c r="L152" s="3"/>
      <c r="M152" s="3"/>
      <c r="N152" s="3"/>
    </row>
    <row r="153" spans="12:14" ht="14.25" customHeight="1" x14ac:dyDescent="0.25">
      <c r="L153" s="3"/>
      <c r="M153" s="3"/>
      <c r="N153" s="3"/>
    </row>
    <row r="154" spans="12:14" ht="14.25" customHeight="1" x14ac:dyDescent="0.25">
      <c r="L154" s="3"/>
      <c r="M154" s="3"/>
      <c r="N154" s="3"/>
    </row>
    <row r="155" spans="12:14" ht="14.25" customHeight="1" x14ac:dyDescent="0.25">
      <c r="L155" s="3"/>
      <c r="M155" s="3"/>
      <c r="N155" s="3"/>
    </row>
    <row r="156" spans="12:14" ht="14.25" customHeight="1" x14ac:dyDescent="0.25">
      <c r="L156" s="3"/>
      <c r="M156" s="3"/>
      <c r="N156" s="3"/>
    </row>
    <row r="157" spans="12:14" ht="14.25" customHeight="1" x14ac:dyDescent="0.25">
      <c r="L157" s="3"/>
      <c r="M157" s="3"/>
      <c r="N157" s="3"/>
    </row>
    <row r="158" spans="12:14" ht="14.25" customHeight="1" x14ac:dyDescent="0.25">
      <c r="L158" s="3"/>
      <c r="M158" s="3"/>
      <c r="N158" s="3"/>
    </row>
    <row r="159" spans="12:14" ht="14.25" customHeight="1" x14ac:dyDescent="0.25">
      <c r="L159" s="3"/>
      <c r="M159" s="3"/>
      <c r="N159" s="3"/>
    </row>
    <row r="160" spans="12:14" ht="14.25" customHeight="1" x14ac:dyDescent="0.25">
      <c r="L160" s="3"/>
      <c r="M160" s="3"/>
      <c r="N160" s="3"/>
    </row>
    <row r="161" spans="12:14" ht="14.25" customHeight="1" x14ac:dyDescent="0.25">
      <c r="L161" s="3"/>
      <c r="M161" s="3"/>
      <c r="N161" s="3"/>
    </row>
    <row r="162" spans="12:14" ht="14.25" customHeight="1" x14ac:dyDescent="0.25">
      <c r="L162" s="3"/>
      <c r="M162" s="3"/>
      <c r="N162" s="3"/>
    </row>
    <row r="163" spans="12:14" ht="14.25" customHeight="1" x14ac:dyDescent="0.25">
      <c r="L163" s="3"/>
      <c r="M163" s="3"/>
      <c r="N163" s="3"/>
    </row>
    <row r="164" spans="12:14" ht="14.25" customHeight="1" x14ac:dyDescent="0.25">
      <c r="L164" s="3"/>
      <c r="M164" s="3"/>
      <c r="N164" s="3"/>
    </row>
    <row r="165" spans="12:14" ht="14.25" customHeight="1" x14ac:dyDescent="0.25">
      <c r="L165" s="3"/>
      <c r="M165" s="3"/>
      <c r="N165" s="3"/>
    </row>
    <row r="166" spans="12:14" ht="14.25" customHeight="1" x14ac:dyDescent="0.25">
      <c r="L166" s="3"/>
      <c r="M166" s="3"/>
      <c r="N166" s="3"/>
    </row>
    <row r="167" spans="12:14" ht="14.25" customHeight="1" x14ac:dyDescent="0.25">
      <c r="L167" s="3"/>
      <c r="M167" s="3"/>
      <c r="N167" s="3"/>
    </row>
    <row r="168" spans="12:14" ht="14.25" customHeight="1" x14ac:dyDescent="0.25">
      <c r="L168" s="3"/>
      <c r="M168" s="3"/>
      <c r="N168" s="3"/>
    </row>
    <row r="169" spans="12:14" ht="14.25" customHeight="1" x14ac:dyDescent="0.25">
      <c r="L169" s="3"/>
      <c r="M169" s="3"/>
      <c r="N169" s="3"/>
    </row>
    <row r="170" spans="12:14" ht="14.25" customHeight="1" x14ac:dyDescent="0.25">
      <c r="L170" s="3"/>
      <c r="M170" s="3"/>
      <c r="N170" s="3"/>
    </row>
    <row r="171" spans="12:14" ht="14.25" customHeight="1" x14ac:dyDescent="0.25">
      <c r="L171" s="3"/>
      <c r="M171" s="3"/>
      <c r="N171" s="3"/>
    </row>
    <row r="172" spans="12:14" ht="14.25" customHeight="1" x14ac:dyDescent="0.25">
      <c r="L172" s="3"/>
      <c r="M172" s="3"/>
      <c r="N172" s="3"/>
    </row>
    <row r="173" spans="12:14" ht="14.25" customHeight="1" x14ac:dyDescent="0.25">
      <c r="L173" s="3"/>
      <c r="M173" s="3"/>
      <c r="N173" s="3"/>
    </row>
    <row r="174" spans="12:14" ht="14.25" customHeight="1" x14ac:dyDescent="0.25">
      <c r="L174" s="3"/>
      <c r="M174" s="3"/>
      <c r="N174" s="3"/>
    </row>
    <row r="175" spans="12:14" ht="14.25" customHeight="1" x14ac:dyDescent="0.25">
      <c r="L175" s="3"/>
      <c r="M175" s="3"/>
      <c r="N175" s="3"/>
    </row>
    <row r="176" spans="12:14" ht="14.25" customHeight="1" x14ac:dyDescent="0.25">
      <c r="L176" s="3"/>
      <c r="M176" s="3"/>
      <c r="N176" s="3"/>
    </row>
    <row r="177" spans="12:14" ht="14.25" customHeight="1" x14ac:dyDescent="0.25">
      <c r="L177" s="3"/>
      <c r="M177" s="3"/>
      <c r="N177" s="3"/>
    </row>
    <row r="178" spans="12:14" ht="14.25" customHeight="1" x14ac:dyDescent="0.25">
      <c r="L178" s="3"/>
      <c r="M178" s="3"/>
      <c r="N178" s="3"/>
    </row>
    <row r="179" spans="12:14" ht="14.25" customHeight="1" x14ac:dyDescent="0.25">
      <c r="L179" s="3"/>
      <c r="M179" s="3"/>
      <c r="N179" s="3"/>
    </row>
    <row r="180" spans="12:14" ht="14.25" customHeight="1" x14ac:dyDescent="0.25">
      <c r="L180" s="3"/>
      <c r="M180" s="3"/>
      <c r="N180" s="3"/>
    </row>
    <row r="181" spans="12:14" ht="14.25" customHeight="1" x14ac:dyDescent="0.25">
      <c r="L181" s="3"/>
      <c r="M181" s="3"/>
      <c r="N181" s="3"/>
    </row>
    <row r="182" spans="12:14" ht="14.25" customHeight="1" x14ac:dyDescent="0.25">
      <c r="L182" s="3"/>
      <c r="M182" s="3"/>
      <c r="N182" s="3"/>
    </row>
    <row r="183" spans="12:14" ht="14.25" customHeight="1" x14ac:dyDescent="0.25">
      <c r="L183" s="3"/>
      <c r="M183" s="3"/>
      <c r="N183" s="3"/>
    </row>
    <row r="184" spans="12:14" ht="14.25" customHeight="1" x14ac:dyDescent="0.25">
      <c r="L184" s="3"/>
      <c r="M184" s="3"/>
      <c r="N184" s="3"/>
    </row>
    <row r="185" spans="12:14" ht="14.25" customHeight="1" x14ac:dyDescent="0.25">
      <c r="L185" s="3"/>
      <c r="M185" s="3"/>
      <c r="N185" s="3"/>
    </row>
    <row r="186" spans="12:14" ht="14.25" customHeight="1" x14ac:dyDescent="0.25">
      <c r="L186" s="3"/>
      <c r="M186" s="3"/>
      <c r="N186" s="3"/>
    </row>
    <row r="187" spans="12:14" ht="14.25" customHeight="1" x14ac:dyDescent="0.25">
      <c r="L187" s="3"/>
      <c r="M187" s="3"/>
      <c r="N187" s="3"/>
    </row>
    <row r="188" spans="12:14" ht="14.25" customHeight="1" x14ac:dyDescent="0.25">
      <c r="L188" s="3"/>
      <c r="M188" s="3"/>
      <c r="N188" s="3"/>
    </row>
    <row r="189" spans="12:14" ht="14.25" customHeight="1" x14ac:dyDescent="0.25">
      <c r="L189" s="3"/>
      <c r="M189" s="3"/>
      <c r="N189" s="3"/>
    </row>
    <row r="190" spans="12:14" ht="14.25" customHeight="1" x14ac:dyDescent="0.25">
      <c r="L190" s="3"/>
      <c r="M190" s="3"/>
      <c r="N190" s="3"/>
    </row>
    <row r="191" spans="12:14" ht="14.25" customHeight="1" x14ac:dyDescent="0.25">
      <c r="L191" s="3"/>
      <c r="M191" s="3"/>
      <c r="N191" s="3"/>
    </row>
    <row r="192" spans="12:14" ht="14.25" customHeight="1" x14ac:dyDescent="0.25">
      <c r="L192" s="3"/>
      <c r="M192" s="3"/>
      <c r="N192" s="3"/>
    </row>
    <row r="193" spans="12:14" ht="14.25" customHeight="1" x14ac:dyDescent="0.25">
      <c r="L193" s="3"/>
      <c r="M193" s="3"/>
      <c r="N193" s="3"/>
    </row>
    <row r="194" spans="12:14" ht="14.25" customHeight="1" x14ac:dyDescent="0.25">
      <c r="L194" s="3"/>
      <c r="M194" s="3"/>
      <c r="N194" s="3"/>
    </row>
    <row r="195" spans="12:14" ht="14.25" customHeight="1" x14ac:dyDescent="0.25">
      <c r="L195" s="3"/>
      <c r="M195" s="3"/>
      <c r="N195" s="3"/>
    </row>
    <row r="196" spans="12:14" ht="14.25" customHeight="1" x14ac:dyDescent="0.25">
      <c r="L196" s="3"/>
      <c r="M196" s="3"/>
      <c r="N196" s="3"/>
    </row>
    <row r="197" spans="12:14" ht="14.25" customHeight="1" x14ac:dyDescent="0.25">
      <c r="L197" s="3"/>
      <c r="M197" s="3"/>
      <c r="N197" s="3"/>
    </row>
    <row r="198" spans="12:14" ht="14.25" customHeight="1" x14ac:dyDescent="0.25">
      <c r="L198" s="3"/>
      <c r="M198" s="3"/>
      <c r="N198" s="3"/>
    </row>
    <row r="199" spans="12:14" ht="14.25" customHeight="1" x14ac:dyDescent="0.25">
      <c r="L199" s="3"/>
      <c r="M199" s="3"/>
      <c r="N199" s="3"/>
    </row>
    <row r="200" spans="12:14" ht="14.25" customHeight="1" x14ac:dyDescent="0.25">
      <c r="L200" s="3"/>
      <c r="M200" s="3"/>
      <c r="N200" s="3"/>
    </row>
    <row r="201" spans="12:14" ht="14.25" customHeight="1" x14ac:dyDescent="0.25">
      <c r="L201" s="3"/>
      <c r="M201" s="3"/>
      <c r="N201" s="3"/>
    </row>
    <row r="202" spans="12:14" ht="14.25" customHeight="1" x14ac:dyDescent="0.25">
      <c r="L202" s="3"/>
      <c r="M202" s="3"/>
      <c r="N202" s="3"/>
    </row>
    <row r="203" spans="12:14" ht="14.25" customHeight="1" x14ac:dyDescent="0.25">
      <c r="L203" s="3"/>
      <c r="M203" s="3"/>
      <c r="N203" s="3"/>
    </row>
    <row r="204" spans="12:14" ht="14.25" customHeight="1" x14ac:dyDescent="0.25">
      <c r="L204" s="3"/>
      <c r="M204" s="3"/>
      <c r="N204" s="3"/>
    </row>
    <row r="205" spans="12:14" ht="14.25" customHeight="1" x14ac:dyDescent="0.25">
      <c r="L205" s="3"/>
      <c r="M205" s="3"/>
      <c r="N205" s="3"/>
    </row>
    <row r="206" spans="12:14" ht="14.25" customHeight="1" x14ac:dyDescent="0.25">
      <c r="L206" s="3"/>
      <c r="M206" s="3"/>
      <c r="N206" s="3"/>
    </row>
    <row r="207" spans="12:14" ht="14.25" customHeight="1" x14ac:dyDescent="0.25">
      <c r="L207" s="3"/>
      <c r="M207" s="3"/>
      <c r="N207" s="3"/>
    </row>
    <row r="208" spans="12:14" ht="14.25" customHeight="1" x14ac:dyDescent="0.25">
      <c r="L208" s="3"/>
      <c r="M208" s="3"/>
      <c r="N208" s="3"/>
    </row>
    <row r="209" spans="12:14" ht="14.25" customHeight="1" x14ac:dyDescent="0.25">
      <c r="L209" s="3"/>
      <c r="M209" s="3"/>
      <c r="N209" s="3"/>
    </row>
    <row r="210" spans="12:14" ht="14.25" customHeight="1" x14ac:dyDescent="0.25">
      <c r="L210" s="3"/>
      <c r="M210" s="3"/>
      <c r="N210" s="3"/>
    </row>
    <row r="211" spans="12:14" ht="14.25" customHeight="1" x14ac:dyDescent="0.25">
      <c r="L211" s="3"/>
      <c r="M211" s="3"/>
      <c r="N211" s="3"/>
    </row>
    <row r="212" spans="12:14" ht="14.25" customHeight="1" x14ac:dyDescent="0.25">
      <c r="L212" s="3"/>
      <c r="M212" s="3"/>
      <c r="N212" s="3"/>
    </row>
    <row r="213" spans="12:14" ht="14.25" customHeight="1" x14ac:dyDescent="0.25">
      <c r="L213" s="3"/>
      <c r="M213" s="3"/>
      <c r="N213" s="3"/>
    </row>
    <row r="214" spans="12:14" ht="14.25" customHeight="1" x14ac:dyDescent="0.25">
      <c r="L214" s="3"/>
      <c r="M214" s="3"/>
      <c r="N214" s="3"/>
    </row>
    <row r="215" spans="12:14" ht="14.25" customHeight="1" x14ac:dyDescent="0.25">
      <c r="L215" s="3"/>
      <c r="M215" s="3"/>
      <c r="N215" s="3"/>
    </row>
    <row r="216" spans="12:14" ht="14.25" customHeight="1" x14ac:dyDescent="0.25">
      <c r="L216" s="3"/>
      <c r="M216" s="3"/>
      <c r="N216" s="3"/>
    </row>
    <row r="217" spans="12:14" ht="14.25" customHeight="1" x14ac:dyDescent="0.25">
      <c r="L217" s="3"/>
      <c r="M217" s="3"/>
      <c r="N217" s="3"/>
    </row>
    <row r="218" spans="12:14" ht="14.25" customHeight="1" x14ac:dyDescent="0.25">
      <c r="L218" s="3"/>
      <c r="M218" s="3"/>
      <c r="N218" s="3"/>
    </row>
    <row r="219" spans="12:14" ht="14.25" customHeight="1" x14ac:dyDescent="0.25">
      <c r="L219" s="3"/>
      <c r="M219" s="3"/>
      <c r="N219" s="3"/>
    </row>
    <row r="220" spans="12:14" ht="14.25" customHeight="1" x14ac:dyDescent="0.25">
      <c r="L220" s="3"/>
      <c r="M220" s="3"/>
      <c r="N220" s="3"/>
    </row>
    <row r="221" spans="12:14" ht="14.25" customHeight="1" x14ac:dyDescent="0.25">
      <c r="L221" s="3"/>
      <c r="M221" s="3"/>
      <c r="N221" s="3"/>
    </row>
    <row r="222" spans="12:14" ht="14.25" customHeight="1" x14ac:dyDescent="0.25">
      <c r="L222" s="3"/>
      <c r="M222" s="3"/>
      <c r="N222" s="3"/>
    </row>
    <row r="223" spans="12:14" ht="14.25" customHeight="1" x14ac:dyDescent="0.25">
      <c r="L223" s="3"/>
      <c r="M223" s="3"/>
      <c r="N223" s="3"/>
    </row>
    <row r="224" spans="12:14" ht="14.25" customHeight="1" x14ac:dyDescent="0.25">
      <c r="L224" s="3"/>
      <c r="M224" s="3"/>
      <c r="N224" s="3"/>
    </row>
    <row r="225" spans="12:14" ht="14.25" customHeight="1" x14ac:dyDescent="0.25">
      <c r="L225" s="3"/>
      <c r="M225" s="3"/>
      <c r="N225" s="3"/>
    </row>
    <row r="226" spans="12:14" ht="14.25" customHeight="1" x14ac:dyDescent="0.25">
      <c r="L226" s="3"/>
      <c r="M226" s="3"/>
      <c r="N226" s="3"/>
    </row>
    <row r="227" spans="12:14" ht="14.25" customHeight="1" x14ac:dyDescent="0.25">
      <c r="L227" s="3"/>
      <c r="M227" s="3"/>
      <c r="N227" s="3"/>
    </row>
    <row r="228" spans="12:14" ht="14.25" customHeight="1" x14ac:dyDescent="0.25">
      <c r="L228" s="3"/>
      <c r="M228" s="3"/>
      <c r="N228" s="3"/>
    </row>
    <row r="229" spans="12:14" ht="14.25" customHeight="1" x14ac:dyDescent="0.25">
      <c r="L229" s="3"/>
      <c r="M229" s="3"/>
      <c r="N229" s="3"/>
    </row>
    <row r="230" spans="12:14" ht="14.25" customHeight="1" x14ac:dyDescent="0.25">
      <c r="L230" s="3"/>
      <c r="M230" s="3"/>
      <c r="N230" s="3"/>
    </row>
    <row r="231" spans="12:14" ht="14.25" customHeight="1" x14ac:dyDescent="0.25">
      <c r="L231" s="3"/>
      <c r="M231" s="3"/>
      <c r="N231" s="3"/>
    </row>
    <row r="232" spans="12:14" ht="14.25" customHeight="1" x14ac:dyDescent="0.25">
      <c r="L232" s="3"/>
      <c r="M232" s="3"/>
      <c r="N232" s="3"/>
    </row>
    <row r="233" spans="12:14" ht="14.25" customHeight="1" x14ac:dyDescent="0.25">
      <c r="L233" s="3"/>
      <c r="M233" s="3"/>
      <c r="N233" s="3"/>
    </row>
    <row r="234" spans="12:14" ht="14.25" customHeight="1" x14ac:dyDescent="0.25">
      <c r="L234" s="3"/>
      <c r="M234" s="3"/>
      <c r="N234" s="3"/>
    </row>
    <row r="235" spans="12:14" ht="14.25" customHeight="1" x14ac:dyDescent="0.25">
      <c r="L235" s="3"/>
      <c r="M235" s="3"/>
      <c r="N235" s="3"/>
    </row>
    <row r="236" spans="12:14" ht="14.25" customHeight="1" x14ac:dyDescent="0.25">
      <c r="L236" s="3"/>
      <c r="M236" s="3"/>
      <c r="N236" s="3"/>
    </row>
    <row r="237" spans="12:14" ht="14.25" customHeight="1" x14ac:dyDescent="0.25">
      <c r="L237" s="3"/>
      <c r="M237" s="3"/>
      <c r="N237" s="3"/>
    </row>
    <row r="238" spans="12:14" ht="14.25" customHeight="1" x14ac:dyDescent="0.25">
      <c r="L238" s="3"/>
      <c r="M238" s="3"/>
      <c r="N238" s="3"/>
    </row>
    <row r="239" spans="12:14" ht="14.25" customHeight="1" x14ac:dyDescent="0.25">
      <c r="L239" s="3"/>
      <c r="M239" s="3"/>
      <c r="N239" s="3"/>
    </row>
    <row r="240" spans="12:14" ht="14.25" customHeight="1" x14ac:dyDescent="0.25">
      <c r="L240" s="3"/>
      <c r="M240" s="3"/>
      <c r="N240" s="3"/>
    </row>
    <row r="241" spans="12:14" ht="14.25" customHeight="1" x14ac:dyDescent="0.25">
      <c r="L241" s="3"/>
      <c r="M241" s="3"/>
      <c r="N241" s="3"/>
    </row>
    <row r="242" spans="12:14" ht="14.25" customHeight="1" x14ac:dyDescent="0.25">
      <c r="L242" s="3"/>
      <c r="M242" s="3"/>
      <c r="N242" s="3"/>
    </row>
    <row r="243" spans="12:14" ht="14.25" customHeight="1" x14ac:dyDescent="0.25">
      <c r="L243" s="3"/>
      <c r="M243" s="3"/>
      <c r="N243" s="3"/>
    </row>
    <row r="244" spans="12:14" ht="14.25" customHeight="1" x14ac:dyDescent="0.25">
      <c r="L244" s="3"/>
      <c r="M244" s="3"/>
      <c r="N244" s="3"/>
    </row>
    <row r="245" spans="12:14" ht="14.25" customHeight="1" x14ac:dyDescent="0.25">
      <c r="L245" s="3"/>
      <c r="M245" s="3"/>
      <c r="N245" s="3"/>
    </row>
    <row r="246" spans="12:14" ht="14.25" customHeight="1" x14ac:dyDescent="0.25">
      <c r="L246" s="3"/>
      <c r="M246" s="3"/>
      <c r="N246" s="3"/>
    </row>
    <row r="247" spans="12:14" ht="14.25" customHeight="1" x14ac:dyDescent="0.25">
      <c r="L247" s="3"/>
      <c r="M247" s="3"/>
      <c r="N247" s="3"/>
    </row>
    <row r="248" spans="12:14" ht="14.25" customHeight="1" x14ac:dyDescent="0.25">
      <c r="L248" s="3"/>
      <c r="M248" s="3"/>
      <c r="N248" s="3"/>
    </row>
    <row r="249" spans="12:14" ht="14.25" customHeight="1" x14ac:dyDescent="0.25">
      <c r="L249" s="3"/>
      <c r="M249" s="3"/>
      <c r="N249" s="3"/>
    </row>
    <row r="250" spans="12:14" ht="14.25" customHeight="1" x14ac:dyDescent="0.25">
      <c r="L250" s="3"/>
      <c r="M250" s="3"/>
      <c r="N250" s="3"/>
    </row>
    <row r="251" spans="12:14" ht="14.25" customHeight="1" x14ac:dyDescent="0.25">
      <c r="L251" s="3"/>
      <c r="M251" s="3"/>
      <c r="N251" s="3"/>
    </row>
    <row r="252" spans="12:14" ht="14.25" customHeight="1" x14ac:dyDescent="0.25">
      <c r="L252" s="3"/>
      <c r="M252" s="3"/>
      <c r="N252" s="3"/>
    </row>
    <row r="253" spans="12:14" ht="14.25" customHeight="1" x14ac:dyDescent="0.25">
      <c r="L253" s="3"/>
      <c r="M253" s="3"/>
      <c r="N253" s="3"/>
    </row>
    <row r="254" spans="12:14" ht="14.25" customHeight="1" x14ac:dyDescent="0.25">
      <c r="L254" s="3"/>
      <c r="M254" s="3"/>
      <c r="N254" s="3"/>
    </row>
    <row r="255" spans="12:14" ht="14.25" customHeight="1" x14ac:dyDescent="0.25">
      <c r="L255" s="3"/>
      <c r="M255" s="3"/>
      <c r="N255" s="3"/>
    </row>
    <row r="256" spans="12:14" ht="14.25" customHeight="1" x14ac:dyDescent="0.25">
      <c r="L256" s="3"/>
      <c r="M256" s="3"/>
      <c r="N256" s="3"/>
    </row>
    <row r="257" spans="12:14" ht="14.25" customHeight="1" x14ac:dyDescent="0.25">
      <c r="L257" s="3"/>
      <c r="M257" s="3"/>
      <c r="N257" s="3"/>
    </row>
    <row r="258" spans="12:14" ht="14.25" customHeight="1" x14ac:dyDescent="0.25">
      <c r="L258" s="3"/>
      <c r="M258" s="3"/>
      <c r="N258" s="3"/>
    </row>
    <row r="259" spans="12:14" ht="14.25" customHeight="1" x14ac:dyDescent="0.25">
      <c r="L259" s="3"/>
      <c r="M259" s="3"/>
      <c r="N259" s="3"/>
    </row>
    <row r="260" spans="12:14" ht="14.25" customHeight="1" x14ac:dyDescent="0.25">
      <c r="L260" s="3"/>
      <c r="M260" s="3"/>
      <c r="N260" s="3"/>
    </row>
    <row r="261" spans="12:14" ht="14.25" customHeight="1" x14ac:dyDescent="0.25">
      <c r="L261" s="3"/>
      <c r="M261" s="3"/>
      <c r="N261" s="3"/>
    </row>
    <row r="262" spans="12:14" ht="14.25" customHeight="1" x14ac:dyDescent="0.25">
      <c r="L262" s="3"/>
      <c r="M262" s="3"/>
      <c r="N262" s="3"/>
    </row>
    <row r="263" spans="12:14" ht="14.25" customHeight="1" x14ac:dyDescent="0.25">
      <c r="L263" s="3"/>
      <c r="M263" s="3"/>
      <c r="N263" s="3"/>
    </row>
    <row r="264" spans="12:14" ht="14.25" customHeight="1" x14ac:dyDescent="0.25">
      <c r="L264" s="3"/>
      <c r="M264" s="3"/>
      <c r="N264" s="3"/>
    </row>
    <row r="265" spans="12:14" ht="14.25" customHeight="1" x14ac:dyDescent="0.25">
      <c r="L265" s="3"/>
      <c r="M265" s="3"/>
      <c r="N265" s="3"/>
    </row>
    <row r="266" spans="12:14" ht="14.25" customHeight="1" x14ac:dyDescent="0.25">
      <c r="L266" s="3"/>
      <c r="M266" s="3"/>
      <c r="N266" s="3"/>
    </row>
    <row r="267" spans="12:14" ht="14.25" customHeight="1" x14ac:dyDescent="0.25">
      <c r="L267" s="3"/>
      <c r="M267" s="3"/>
      <c r="N267" s="3"/>
    </row>
    <row r="268" spans="12:14" ht="14.25" customHeight="1" x14ac:dyDescent="0.25">
      <c r="L268" s="3"/>
      <c r="M268" s="3"/>
      <c r="N268" s="3"/>
    </row>
    <row r="269" spans="12:14" ht="14.25" customHeight="1" x14ac:dyDescent="0.25">
      <c r="L269" s="3"/>
      <c r="M269" s="3"/>
      <c r="N269" s="3"/>
    </row>
    <row r="270" spans="12:14" ht="14.25" customHeight="1" x14ac:dyDescent="0.25">
      <c r="L270" s="3"/>
      <c r="M270" s="3"/>
      <c r="N270" s="3"/>
    </row>
    <row r="271" spans="12:14" ht="14.25" customHeight="1" x14ac:dyDescent="0.25">
      <c r="L271" s="3"/>
      <c r="M271" s="3"/>
      <c r="N271" s="3"/>
    </row>
    <row r="272" spans="12:14" ht="14.25" customHeight="1" x14ac:dyDescent="0.25">
      <c r="L272" s="3"/>
      <c r="M272" s="3"/>
      <c r="N272" s="3"/>
    </row>
    <row r="273" spans="12:14" ht="14.25" customHeight="1" x14ac:dyDescent="0.25">
      <c r="L273" s="3"/>
      <c r="M273" s="3"/>
      <c r="N273" s="3"/>
    </row>
    <row r="274" spans="12:14" ht="14.25" customHeight="1" x14ac:dyDescent="0.25">
      <c r="L274" s="3"/>
      <c r="M274" s="3"/>
      <c r="N274" s="3"/>
    </row>
    <row r="275" spans="12:14" ht="14.25" customHeight="1" x14ac:dyDescent="0.25">
      <c r="L275" s="3"/>
      <c r="M275" s="3"/>
      <c r="N275" s="3"/>
    </row>
    <row r="276" spans="12:14" ht="14.25" customHeight="1" x14ac:dyDescent="0.25">
      <c r="L276" s="3"/>
      <c r="M276" s="3"/>
      <c r="N276" s="3"/>
    </row>
    <row r="277" spans="12:14" ht="14.25" customHeight="1" x14ac:dyDescent="0.25">
      <c r="L277" s="3"/>
      <c r="M277" s="3"/>
      <c r="N277" s="3"/>
    </row>
    <row r="278" spans="12:14" ht="14.25" customHeight="1" x14ac:dyDescent="0.25">
      <c r="L278" s="3"/>
      <c r="M278" s="3"/>
      <c r="N278" s="3"/>
    </row>
    <row r="279" spans="12:14" ht="14.25" customHeight="1" x14ac:dyDescent="0.25">
      <c r="L279" s="3"/>
      <c r="M279" s="3"/>
      <c r="N279" s="3"/>
    </row>
    <row r="280" spans="12:14" ht="14.25" customHeight="1" x14ac:dyDescent="0.25">
      <c r="L280" s="3"/>
      <c r="M280" s="3"/>
      <c r="N280" s="3"/>
    </row>
    <row r="281" spans="12:14" ht="14.25" customHeight="1" x14ac:dyDescent="0.25">
      <c r="L281" s="3"/>
      <c r="M281" s="3"/>
      <c r="N281" s="3"/>
    </row>
    <row r="282" spans="12:14" ht="14.25" customHeight="1" x14ac:dyDescent="0.25">
      <c r="L282" s="3"/>
      <c r="M282" s="3"/>
      <c r="N282" s="3"/>
    </row>
    <row r="283" spans="12:14" ht="14.25" customHeight="1" x14ac:dyDescent="0.25">
      <c r="L283" s="3"/>
      <c r="M283" s="3"/>
      <c r="N283" s="3"/>
    </row>
    <row r="284" spans="12:14" ht="14.25" customHeight="1" x14ac:dyDescent="0.25">
      <c r="L284" s="3"/>
      <c r="M284" s="3"/>
      <c r="N284" s="3"/>
    </row>
    <row r="285" spans="12:14" ht="14.25" customHeight="1" x14ac:dyDescent="0.25">
      <c r="L285" s="3"/>
      <c r="M285" s="3"/>
      <c r="N285" s="3"/>
    </row>
    <row r="286" spans="12:14" ht="14.25" customHeight="1" x14ac:dyDescent="0.25">
      <c r="L286" s="3"/>
      <c r="M286" s="3"/>
      <c r="N286" s="3"/>
    </row>
    <row r="287" spans="12:14" ht="14.25" customHeight="1" x14ac:dyDescent="0.25">
      <c r="L287" s="3"/>
      <c r="M287" s="3"/>
      <c r="N287" s="3"/>
    </row>
    <row r="288" spans="12:14" ht="14.25" customHeight="1" x14ac:dyDescent="0.25">
      <c r="L288" s="3"/>
      <c r="M288" s="3"/>
      <c r="N288" s="3"/>
    </row>
    <row r="289" spans="12:14" ht="14.25" customHeight="1" x14ac:dyDescent="0.25">
      <c r="L289" s="3"/>
      <c r="M289" s="3"/>
      <c r="N289" s="3"/>
    </row>
    <row r="290" spans="12:14" ht="14.25" customHeight="1" x14ac:dyDescent="0.25">
      <c r="L290" s="3"/>
      <c r="M290" s="3"/>
      <c r="N290" s="3"/>
    </row>
    <row r="291" spans="12:14" ht="14.25" customHeight="1" x14ac:dyDescent="0.25">
      <c r="L291" s="3"/>
      <c r="M291" s="3"/>
      <c r="N291" s="3"/>
    </row>
    <row r="292" spans="12:14" ht="14.25" customHeight="1" x14ac:dyDescent="0.25">
      <c r="L292" s="3"/>
      <c r="M292" s="3"/>
      <c r="N292" s="3"/>
    </row>
    <row r="293" spans="12:14" ht="14.25" customHeight="1" x14ac:dyDescent="0.25">
      <c r="L293" s="3"/>
      <c r="M293" s="3"/>
      <c r="N293" s="3"/>
    </row>
    <row r="294" spans="12:14" ht="14.25" customHeight="1" x14ac:dyDescent="0.25">
      <c r="L294" s="3"/>
      <c r="M294" s="3"/>
      <c r="N294" s="3"/>
    </row>
    <row r="295" spans="12:14" ht="14.25" customHeight="1" x14ac:dyDescent="0.25">
      <c r="L295" s="3"/>
      <c r="M295" s="3"/>
      <c r="N295" s="3"/>
    </row>
    <row r="296" spans="12:14" ht="14.25" customHeight="1" x14ac:dyDescent="0.25">
      <c r="L296" s="3"/>
      <c r="M296" s="3"/>
      <c r="N296" s="3"/>
    </row>
    <row r="297" spans="12:14" ht="14.25" customHeight="1" x14ac:dyDescent="0.25">
      <c r="L297" s="3"/>
      <c r="M297" s="3"/>
      <c r="N297" s="3"/>
    </row>
    <row r="298" spans="12:14" ht="14.25" customHeight="1" x14ac:dyDescent="0.25">
      <c r="L298" s="3"/>
      <c r="M298" s="3"/>
      <c r="N298" s="3"/>
    </row>
    <row r="299" spans="12:14" ht="14.25" customHeight="1" x14ac:dyDescent="0.25">
      <c r="L299" s="3"/>
      <c r="M299" s="3"/>
      <c r="N299" s="3"/>
    </row>
    <row r="300" spans="12:14" ht="14.25" customHeight="1" x14ac:dyDescent="0.25">
      <c r="L300" s="3"/>
      <c r="M300" s="3"/>
      <c r="N300" s="3"/>
    </row>
    <row r="301" spans="12:14" ht="14.25" customHeight="1" x14ac:dyDescent="0.25">
      <c r="L301" s="3"/>
      <c r="M301" s="3"/>
      <c r="N301" s="3"/>
    </row>
    <row r="302" spans="12:14" ht="14.25" customHeight="1" x14ac:dyDescent="0.25">
      <c r="L302" s="3"/>
      <c r="M302" s="3"/>
      <c r="N302" s="3"/>
    </row>
    <row r="303" spans="12:14" ht="14.25" customHeight="1" x14ac:dyDescent="0.25">
      <c r="L303" s="3"/>
      <c r="M303" s="3"/>
      <c r="N303" s="3"/>
    </row>
    <row r="304" spans="12:14" ht="14.25" customHeight="1" x14ac:dyDescent="0.25">
      <c r="L304" s="3"/>
      <c r="M304" s="3"/>
      <c r="N304" s="3"/>
    </row>
    <row r="305" spans="12:14" ht="14.25" customHeight="1" x14ac:dyDescent="0.25">
      <c r="L305" s="3"/>
      <c r="M305" s="3"/>
      <c r="N305" s="3"/>
    </row>
    <row r="306" spans="12:14" ht="14.25" customHeight="1" x14ac:dyDescent="0.25">
      <c r="L306" s="3"/>
      <c r="M306" s="3"/>
      <c r="N306" s="3"/>
    </row>
    <row r="307" spans="12:14" ht="14.25" customHeight="1" x14ac:dyDescent="0.25">
      <c r="L307" s="3"/>
      <c r="M307" s="3"/>
      <c r="N307" s="3"/>
    </row>
    <row r="308" spans="12:14" ht="14.25" customHeight="1" x14ac:dyDescent="0.25">
      <c r="L308" s="3"/>
      <c r="M308" s="3"/>
      <c r="N308" s="3"/>
    </row>
    <row r="309" spans="12:14" ht="14.25" customHeight="1" x14ac:dyDescent="0.25">
      <c r="L309" s="3"/>
      <c r="M309" s="3"/>
      <c r="N309" s="3"/>
    </row>
    <row r="310" spans="12:14" ht="14.25" customHeight="1" x14ac:dyDescent="0.25">
      <c r="L310" s="3"/>
      <c r="M310" s="3"/>
      <c r="N310" s="3"/>
    </row>
    <row r="311" spans="12:14" ht="14.25" customHeight="1" x14ac:dyDescent="0.25">
      <c r="L311" s="3"/>
      <c r="M311" s="3"/>
      <c r="N311" s="3"/>
    </row>
    <row r="312" spans="12:14" ht="14.25" customHeight="1" x14ac:dyDescent="0.25">
      <c r="L312" s="3"/>
      <c r="M312" s="3"/>
      <c r="N312" s="3"/>
    </row>
    <row r="313" spans="12:14" ht="14.25" customHeight="1" x14ac:dyDescent="0.25">
      <c r="L313" s="3"/>
      <c r="M313" s="3"/>
      <c r="N313" s="3"/>
    </row>
    <row r="314" spans="12:14" ht="14.25" customHeight="1" x14ac:dyDescent="0.25">
      <c r="L314" s="3"/>
      <c r="M314" s="3"/>
      <c r="N314" s="3"/>
    </row>
    <row r="315" spans="12:14" ht="14.25" customHeight="1" x14ac:dyDescent="0.25">
      <c r="L315" s="3"/>
      <c r="M315" s="3"/>
      <c r="N315" s="3"/>
    </row>
    <row r="316" spans="12:14" ht="14.25" customHeight="1" x14ac:dyDescent="0.25">
      <c r="L316" s="3"/>
      <c r="M316" s="3"/>
      <c r="N316" s="3"/>
    </row>
    <row r="317" spans="12:14" ht="14.25" customHeight="1" x14ac:dyDescent="0.25">
      <c r="L317" s="3"/>
      <c r="M317" s="3"/>
      <c r="N317" s="3"/>
    </row>
    <row r="318" spans="12:14" ht="14.25" customHeight="1" x14ac:dyDescent="0.25">
      <c r="L318" s="3"/>
      <c r="M318" s="3"/>
      <c r="N318" s="3"/>
    </row>
    <row r="319" spans="12:14" ht="14.25" customHeight="1" x14ac:dyDescent="0.25">
      <c r="L319" s="3"/>
      <c r="M319" s="3"/>
      <c r="N319" s="3"/>
    </row>
    <row r="320" spans="12:14" ht="14.25" customHeight="1" x14ac:dyDescent="0.25">
      <c r="L320" s="3"/>
      <c r="M320" s="3"/>
      <c r="N320" s="3"/>
    </row>
    <row r="321" spans="12:14" ht="14.25" customHeight="1" x14ac:dyDescent="0.25">
      <c r="L321" s="3"/>
      <c r="M321" s="3"/>
      <c r="N321" s="3"/>
    </row>
    <row r="322" spans="12:14" ht="14.25" customHeight="1" x14ac:dyDescent="0.25">
      <c r="L322" s="3"/>
      <c r="M322" s="3"/>
      <c r="N322" s="3"/>
    </row>
    <row r="323" spans="12:14" ht="14.25" customHeight="1" x14ac:dyDescent="0.25">
      <c r="L323" s="3"/>
      <c r="M323" s="3"/>
      <c r="N323" s="3"/>
    </row>
    <row r="324" spans="12:14" ht="14.25" customHeight="1" x14ac:dyDescent="0.25">
      <c r="L324" s="3"/>
      <c r="M324" s="3"/>
      <c r="N324" s="3"/>
    </row>
    <row r="325" spans="12:14" ht="14.25" customHeight="1" x14ac:dyDescent="0.25">
      <c r="L325" s="3"/>
      <c r="M325" s="3"/>
      <c r="N325" s="3"/>
    </row>
    <row r="326" spans="12:14" ht="14.25" customHeight="1" x14ac:dyDescent="0.25">
      <c r="L326" s="3"/>
      <c r="M326" s="3"/>
      <c r="N326" s="3"/>
    </row>
    <row r="327" spans="12:14" ht="14.25" customHeight="1" x14ac:dyDescent="0.25">
      <c r="L327" s="3"/>
      <c r="M327" s="3"/>
      <c r="N327" s="3"/>
    </row>
    <row r="328" spans="12:14" ht="14.25" customHeight="1" x14ac:dyDescent="0.25">
      <c r="L328" s="3"/>
      <c r="M328" s="3"/>
      <c r="N328" s="3"/>
    </row>
    <row r="329" spans="12:14" ht="14.25" customHeight="1" x14ac:dyDescent="0.25">
      <c r="L329" s="3"/>
      <c r="M329" s="3"/>
      <c r="N329" s="3"/>
    </row>
    <row r="330" spans="12:14" ht="14.25" customHeight="1" x14ac:dyDescent="0.25">
      <c r="L330" s="3"/>
      <c r="M330" s="3"/>
      <c r="N330" s="3"/>
    </row>
    <row r="331" spans="12:14" ht="14.25" customHeight="1" x14ac:dyDescent="0.25">
      <c r="L331" s="3"/>
      <c r="M331" s="3"/>
      <c r="N331" s="3"/>
    </row>
    <row r="332" spans="12:14" ht="14.25" customHeight="1" x14ac:dyDescent="0.25">
      <c r="L332" s="3"/>
      <c r="M332" s="3"/>
      <c r="N332" s="3"/>
    </row>
    <row r="333" spans="12:14" ht="14.25" customHeight="1" x14ac:dyDescent="0.25">
      <c r="L333" s="3"/>
      <c r="M333" s="3"/>
      <c r="N333" s="3"/>
    </row>
    <row r="334" spans="12:14" ht="14.25" customHeight="1" x14ac:dyDescent="0.25">
      <c r="L334" s="3"/>
      <c r="M334" s="3"/>
      <c r="N334" s="3"/>
    </row>
    <row r="335" spans="12:14" ht="14.25" customHeight="1" x14ac:dyDescent="0.25">
      <c r="L335" s="3"/>
      <c r="M335" s="3"/>
      <c r="N335" s="3"/>
    </row>
    <row r="336" spans="12:14" ht="14.25" customHeight="1" x14ac:dyDescent="0.25">
      <c r="L336" s="3"/>
      <c r="M336" s="3"/>
      <c r="N336" s="3"/>
    </row>
    <row r="337" spans="12:14" ht="14.25" customHeight="1" x14ac:dyDescent="0.25">
      <c r="L337" s="3"/>
      <c r="M337" s="3"/>
      <c r="N337" s="3"/>
    </row>
    <row r="338" spans="12:14" ht="14.25" customHeight="1" x14ac:dyDescent="0.25">
      <c r="L338" s="3"/>
      <c r="M338" s="3"/>
      <c r="N338" s="3"/>
    </row>
    <row r="339" spans="12:14" ht="14.25" customHeight="1" x14ac:dyDescent="0.25">
      <c r="L339" s="3"/>
      <c r="M339" s="3"/>
      <c r="N339" s="3"/>
    </row>
    <row r="340" spans="12:14" ht="14.25" customHeight="1" x14ac:dyDescent="0.25">
      <c r="L340" s="3"/>
      <c r="M340" s="3"/>
      <c r="N340" s="3"/>
    </row>
    <row r="341" spans="12:14" ht="14.25" customHeight="1" x14ac:dyDescent="0.25">
      <c r="L341" s="3"/>
      <c r="M341" s="3"/>
      <c r="N341" s="3"/>
    </row>
    <row r="342" spans="12:14" ht="14.25" customHeight="1" x14ac:dyDescent="0.25">
      <c r="L342" s="3"/>
      <c r="M342" s="3"/>
      <c r="N342" s="3"/>
    </row>
    <row r="343" spans="12:14" ht="14.25" customHeight="1" x14ac:dyDescent="0.25">
      <c r="L343" s="3"/>
      <c r="M343" s="3"/>
      <c r="N343" s="3"/>
    </row>
    <row r="344" spans="12:14" ht="14.25" customHeight="1" x14ac:dyDescent="0.25">
      <c r="L344" s="3"/>
      <c r="M344" s="3"/>
      <c r="N344" s="3"/>
    </row>
    <row r="345" spans="12:14" ht="14.25" customHeight="1" x14ac:dyDescent="0.25">
      <c r="L345" s="3"/>
      <c r="M345" s="3"/>
      <c r="N345" s="3"/>
    </row>
    <row r="346" spans="12:14" ht="14.25" customHeight="1" x14ac:dyDescent="0.25">
      <c r="L346" s="3"/>
      <c r="M346" s="3"/>
      <c r="N346" s="3"/>
    </row>
    <row r="347" spans="12:14" ht="14.25" customHeight="1" x14ac:dyDescent="0.25">
      <c r="L347" s="3"/>
      <c r="M347" s="3"/>
      <c r="N347" s="3"/>
    </row>
    <row r="348" spans="12:14" ht="14.25" customHeight="1" x14ac:dyDescent="0.25">
      <c r="L348" s="3"/>
      <c r="M348" s="3"/>
      <c r="N348" s="3"/>
    </row>
    <row r="349" spans="12:14" ht="14.25" customHeight="1" x14ac:dyDescent="0.25">
      <c r="L349" s="3"/>
      <c r="M349" s="3"/>
      <c r="N349" s="3"/>
    </row>
    <row r="350" spans="12:14" ht="14.25" customHeight="1" x14ac:dyDescent="0.25">
      <c r="L350" s="3"/>
      <c r="M350" s="3"/>
      <c r="N350" s="3"/>
    </row>
    <row r="351" spans="12:14" ht="14.25" customHeight="1" x14ac:dyDescent="0.25">
      <c r="L351" s="3"/>
      <c r="M351" s="3"/>
      <c r="N351" s="3"/>
    </row>
    <row r="352" spans="12:14" ht="14.25" customHeight="1" x14ac:dyDescent="0.25">
      <c r="L352" s="3"/>
      <c r="M352" s="3"/>
      <c r="N352" s="3"/>
    </row>
    <row r="353" spans="12:14" ht="14.25" customHeight="1" x14ac:dyDescent="0.25">
      <c r="L353" s="3"/>
      <c r="M353" s="3"/>
      <c r="N353" s="3"/>
    </row>
    <row r="354" spans="12:14" ht="14.25" customHeight="1" x14ac:dyDescent="0.25">
      <c r="L354" s="3"/>
      <c r="M354" s="3"/>
      <c r="N354" s="3"/>
    </row>
    <row r="355" spans="12:14" ht="14.25" customHeight="1" x14ac:dyDescent="0.25">
      <c r="L355" s="3"/>
      <c r="M355" s="3"/>
      <c r="N355" s="3"/>
    </row>
    <row r="356" spans="12:14" ht="14.25" customHeight="1" x14ac:dyDescent="0.25">
      <c r="L356" s="3"/>
      <c r="M356" s="3"/>
      <c r="N356" s="3"/>
    </row>
    <row r="357" spans="12:14" ht="14.25" customHeight="1" x14ac:dyDescent="0.25">
      <c r="L357" s="3"/>
      <c r="M357" s="3"/>
      <c r="N357" s="3"/>
    </row>
    <row r="358" spans="12:14" ht="14.25" customHeight="1" x14ac:dyDescent="0.25">
      <c r="L358" s="3"/>
      <c r="M358" s="3"/>
      <c r="N358" s="3"/>
    </row>
    <row r="359" spans="12:14" ht="14.25" customHeight="1" x14ac:dyDescent="0.25">
      <c r="L359" s="3"/>
      <c r="M359" s="3"/>
      <c r="N359" s="3"/>
    </row>
    <row r="360" spans="12:14" ht="14.25" customHeight="1" x14ac:dyDescent="0.25">
      <c r="L360" s="3"/>
      <c r="M360" s="3"/>
      <c r="N360" s="3"/>
    </row>
    <row r="361" spans="12:14" ht="14.25" customHeight="1" x14ac:dyDescent="0.25">
      <c r="L361" s="3"/>
      <c r="M361" s="3"/>
      <c r="N361" s="3"/>
    </row>
    <row r="362" spans="12:14" ht="14.25" customHeight="1" x14ac:dyDescent="0.25">
      <c r="L362" s="3"/>
      <c r="M362" s="3"/>
      <c r="N362" s="3"/>
    </row>
    <row r="363" spans="12:14" ht="14.25" customHeight="1" x14ac:dyDescent="0.25">
      <c r="L363" s="3"/>
      <c r="M363" s="3"/>
      <c r="N363" s="3"/>
    </row>
    <row r="364" spans="12:14" ht="14.25" customHeight="1" x14ac:dyDescent="0.25">
      <c r="L364" s="3"/>
      <c r="M364" s="3"/>
      <c r="N364" s="3"/>
    </row>
    <row r="365" spans="12:14" ht="14.25" customHeight="1" x14ac:dyDescent="0.25">
      <c r="L365" s="3"/>
      <c r="M365" s="3"/>
      <c r="N365" s="3"/>
    </row>
    <row r="366" spans="12:14" ht="14.25" customHeight="1" x14ac:dyDescent="0.25">
      <c r="L366" s="3"/>
      <c r="M366" s="3"/>
      <c r="N366" s="3"/>
    </row>
    <row r="367" spans="12:14" ht="14.25" customHeight="1" x14ac:dyDescent="0.25">
      <c r="L367" s="3"/>
      <c r="M367" s="3"/>
      <c r="N367" s="3"/>
    </row>
    <row r="368" spans="12:14" ht="14.25" customHeight="1" x14ac:dyDescent="0.25">
      <c r="L368" s="3"/>
      <c r="M368" s="3"/>
      <c r="N368" s="3"/>
    </row>
    <row r="369" spans="12:14" ht="14.25" customHeight="1" x14ac:dyDescent="0.25">
      <c r="L369" s="3"/>
      <c r="M369" s="3"/>
      <c r="N369" s="3"/>
    </row>
    <row r="370" spans="12:14" ht="14.25" customHeight="1" x14ac:dyDescent="0.25">
      <c r="L370" s="3"/>
      <c r="M370" s="3"/>
      <c r="N370" s="3"/>
    </row>
    <row r="371" spans="12:14" ht="14.25" customHeight="1" x14ac:dyDescent="0.25">
      <c r="L371" s="3"/>
      <c r="M371" s="3"/>
      <c r="N371" s="3"/>
    </row>
    <row r="372" spans="12:14" ht="14.25" customHeight="1" x14ac:dyDescent="0.25">
      <c r="L372" s="3"/>
      <c r="M372" s="3"/>
      <c r="N372" s="3"/>
    </row>
    <row r="373" spans="12:14" ht="14.25" customHeight="1" x14ac:dyDescent="0.25">
      <c r="L373" s="3"/>
      <c r="M373" s="3"/>
      <c r="N373" s="3"/>
    </row>
    <row r="374" spans="12:14" ht="14.25" customHeight="1" x14ac:dyDescent="0.25">
      <c r="L374" s="3"/>
      <c r="M374" s="3"/>
      <c r="N374" s="3"/>
    </row>
    <row r="375" spans="12:14" ht="14.25" customHeight="1" x14ac:dyDescent="0.25">
      <c r="L375" s="3"/>
      <c r="M375" s="3"/>
      <c r="N375" s="3"/>
    </row>
    <row r="376" spans="12:14" ht="14.25" customHeight="1" x14ac:dyDescent="0.25">
      <c r="L376" s="3"/>
      <c r="M376" s="3"/>
      <c r="N376" s="3"/>
    </row>
    <row r="377" spans="12:14" ht="14.25" customHeight="1" x14ac:dyDescent="0.25">
      <c r="L377" s="3"/>
      <c r="M377" s="3"/>
      <c r="N377" s="3"/>
    </row>
    <row r="378" spans="12:14" ht="14.25" customHeight="1" x14ac:dyDescent="0.25">
      <c r="L378" s="3"/>
      <c r="M378" s="3"/>
      <c r="N378" s="3"/>
    </row>
    <row r="379" spans="12:14" ht="14.25" customHeight="1" x14ac:dyDescent="0.25">
      <c r="L379" s="3"/>
      <c r="M379" s="3"/>
      <c r="N379" s="3"/>
    </row>
    <row r="380" spans="12:14" ht="14.25" customHeight="1" x14ac:dyDescent="0.25">
      <c r="L380" s="3"/>
      <c r="M380" s="3"/>
      <c r="N380" s="3"/>
    </row>
    <row r="381" spans="12:14" ht="14.25" customHeight="1" x14ac:dyDescent="0.25">
      <c r="L381" s="3"/>
      <c r="M381" s="3"/>
      <c r="N381" s="3"/>
    </row>
    <row r="382" spans="12:14" ht="14.25" customHeight="1" x14ac:dyDescent="0.25">
      <c r="L382" s="3"/>
      <c r="M382" s="3"/>
      <c r="N382" s="3"/>
    </row>
    <row r="383" spans="12:14" ht="14.25" customHeight="1" x14ac:dyDescent="0.25">
      <c r="L383" s="3"/>
      <c r="M383" s="3"/>
      <c r="N383" s="3"/>
    </row>
    <row r="384" spans="12:14" ht="14.25" customHeight="1" x14ac:dyDescent="0.25">
      <c r="L384" s="3"/>
      <c r="M384" s="3"/>
      <c r="N384" s="3"/>
    </row>
    <row r="385" spans="12:14" ht="14.25" customHeight="1" x14ac:dyDescent="0.25">
      <c r="L385" s="3"/>
      <c r="M385" s="3"/>
      <c r="N385" s="3"/>
    </row>
    <row r="386" spans="12:14" ht="14.25" customHeight="1" x14ac:dyDescent="0.25">
      <c r="L386" s="3"/>
      <c r="M386" s="3"/>
      <c r="N386" s="3"/>
    </row>
    <row r="387" spans="12:14" ht="14.25" customHeight="1" x14ac:dyDescent="0.25">
      <c r="L387" s="3"/>
      <c r="M387" s="3"/>
      <c r="N387" s="3"/>
    </row>
    <row r="388" spans="12:14" ht="14.25" customHeight="1" x14ac:dyDescent="0.25">
      <c r="L388" s="3"/>
      <c r="M388" s="3"/>
      <c r="N388" s="3"/>
    </row>
    <row r="389" spans="12:14" ht="14.25" customHeight="1" x14ac:dyDescent="0.25">
      <c r="L389" s="3"/>
      <c r="M389" s="3"/>
      <c r="N389" s="3"/>
    </row>
    <row r="390" spans="12:14" ht="14.25" customHeight="1" x14ac:dyDescent="0.25">
      <c r="L390" s="3"/>
      <c r="M390" s="3"/>
      <c r="N390" s="3"/>
    </row>
    <row r="391" spans="12:14" ht="14.25" customHeight="1" x14ac:dyDescent="0.25">
      <c r="L391" s="3"/>
      <c r="M391" s="3"/>
      <c r="N391" s="3"/>
    </row>
    <row r="392" spans="12:14" ht="14.25" customHeight="1" x14ac:dyDescent="0.25">
      <c r="L392" s="3"/>
      <c r="M392" s="3"/>
      <c r="N392" s="3"/>
    </row>
    <row r="393" spans="12:14" ht="14.25" customHeight="1" x14ac:dyDescent="0.25">
      <c r="L393" s="3"/>
      <c r="M393" s="3"/>
      <c r="N393" s="3"/>
    </row>
    <row r="394" spans="12:14" ht="14.25" customHeight="1" x14ac:dyDescent="0.25">
      <c r="L394" s="3"/>
      <c r="M394" s="3"/>
      <c r="N394" s="3"/>
    </row>
    <row r="395" spans="12:14" ht="14.25" customHeight="1" x14ac:dyDescent="0.25">
      <c r="L395" s="3"/>
      <c r="M395" s="3"/>
      <c r="N395" s="3"/>
    </row>
    <row r="396" spans="12:14" ht="14.25" customHeight="1" x14ac:dyDescent="0.25">
      <c r="L396" s="3"/>
      <c r="M396" s="3"/>
      <c r="N396" s="3"/>
    </row>
    <row r="397" spans="12:14" ht="14.25" customHeight="1" x14ac:dyDescent="0.25">
      <c r="L397" s="3"/>
      <c r="M397" s="3"/>
      <c r="N397" s="3"/>
    </row>
    <row r="398" spans="12:14" ht="14.25" customHeight="1" x14ac:dyDescent="0.25">
      <c r="L398" s="3"/>
      <c r="M398" s="3"/>
      <c r="N398" s="3"/>
    </row>
    <row r="399" spans="12:14" ht="14.25" customHeight="1" x14ac:dyDescent="0.25">
      <c r="L399" s="3"/>
      <c r="M399" s="3"/>
      <c r="N399" s="3"/>
    </row>
    <row r="400" spans="12:14" ht="14.25" customHeight="1" x14ac:dyDescent="0.25">
      <c r="L400" s="3"/>
      <c r="M400" s="3"/>
      <c r="N400" s="3"/>
    </row>
    <row r="401" spans="12:14" ht="14.25" customHeight="1" x14ac:dyDescent="0.25">
      <c r="L401" s="3"/>
      <c r="M401" s="3"/>
      <c r="N401" s="3"/>
    </row>
    <row r="402" spans="12:14" ht="14.25" customHeight="1" x14ac:dyDescent="0.25">
      <c r="L402" s="3"/>
      <c r="M402" s="3"/>
      <c r="N402" s="3"/>
    </row>
    <row r="403" spans="12:14" ht="14.25" customHeight="1" x14ac:dyDescent="0.25">
      <c r="L403" s="3"/>
      <c r="M403" s="3"/>
      <c r="N403" s="3"/>
    </row>
    <row r="404" spans="12:14" ht="14.25" customHeight="1" x14ac:dyDescent="0.25">
      <c r="L404" s="3"/>
      <c r="M404" s="3"/>
      <c r="N404" s="3"/>
    </row>
    <row r="405" spans="12:14" ht="14.25" customHeight="1" x14ac:dyDescent="0.25">
      <c r="L405" s="3"/>
      <c r="M405" s="3"/>
      <c r="N405" s="3"/>
    </row>
    <row r="406" spans="12:14" ht="14.25" customHeight="1" x14ac:dyDescent="0.25">
      <c r="L406" s="3"/>
      <c r="M406" s="3"/>
      <c r="N406" s="3"/>
    </row>
    <row r="407" spans="12:14" ht="14.25" customHeight="1" x14ac:dyDescent="0.25">
      <c r="L407" s="3"/>
      <c r="M407" s="3"/>
      <c r="N407" s="3"/>
    </row>
    <row r="408" spans="12:14" ht="14.25" customHeight="1" x14ac:dyDescent="0.25">
      <c r="L408" s="3"/>
      <c r="M408" s="3"/>
      <c r="N408" s="3"/>
    </row>
    <row r="409" spans="12:14" ht="14.25" customHeight="1" x14ac:dyDescent="0.25">
      <c r="L409" s="3"/>
      <c r="M409" s="3"/>
      <c r="N409" s="3"/>
    </row>
    <row r="410" spans="12:14" ht="14.25" customHeight="1" x14ac:dyDescent="0.25">
      <c r="L410" s="3"/>
      <c r="M410" s="3"/>
      <c r="N410" s="3"/>
    </row>
    <row r="411" spans="12:14" ht="14.25" customHeight="1" x14ac:dyDescent="0.25">
      <c r="L411" s="3"/>
      <c r="M411" s="3"/>
      <c r="N411" s="3"/>
    </row>
    <row r="412" spans="12:14" ht="14.25" customHeight="1" x14ac:dyDescent="0.25">
      <c r="L412" s="3"/>
      <c r="M412" s="3"/>
      <c r="N412" s="3"/>
    </row>
    <row r="413" spans="12:14" ht="14.25" customHeight="1" x14ac:dyDescent="0.25">
      <c r="L413" s="3"/>
      <c r="M413" s="3"/>
      <c r="N413" s="3"/>
    </row>
    <row r="414" spans="12:14" ht="14.25" customHeight="1" x14ac:dyDescent="0.25">
      <c r="L414" s="3"/>
      <c r="M414" s="3"/>
      <c r="N414" s="3"/>
    </row>
    <row r="415" spans="12:14" ht="14.25" customHeight="1" x14ac:dyDescent="0.25">
      <c r="L415" s="3"/>
      <c r="M415" s="3"/>
      <c r="N415" s="3"/>
    </row>
    <row r="416" spans="12:14" ht="14.25" customHeight="1" x14ac:dyDescent="0.25">
      <c r="L416" s="3"/>
      <c r="M416" s="3"/>
      <c r="N416" s="3"/>
    </row>
    <row r="417" spans="12:14" ht="14.25" customHeight="1" x14ac:dyDescent="0.25">
      <c r="L417" s="3"/>
      <c r="M417" s="3"/>
      <c r="N417" s="3"/>
    </row>
    <row r="418" spans="12:14" ht="14.25" customHeight="1" x14ac:dyDescent="0.25">
      <c r="L418" s="3"/>
      <c r="M418" s="3"/>
      <c r="N418" s="3"/>
    </row>
    <row r="419" spans="12:14" ht="14.25" customHeight="1" x14ac:dyDescent="0.25">
      <c r="L419" s="3"/>
      <c r="M419" s="3"/>
      <c r="N419" s="3"/>
    </row>
    <row r="420" spans="12:14" ht="14.25" customHeight="1" x14ac:dyDescent="0.25">
      <c r="L420" s="3"/>
      <c r="M420" s="3"/>
      <c r="N420" s="3"/>
    </row>
    <row r="421" spans="12:14" ht="14.25" customHeight="1" x14ac:dyDescent="0.25">
      <c r="L421" s="3"/>
      <c r="M421" s="3"/>
      <c r="N421" s="3"/>
    </row>
    <row r="422" spans="12:14" ht="14.25" customHeight="1" x14ac:dyDescent="0.25">
      <c r="L422" s="3"/>
      <c r="M422" s="3"/>
      <c r="N422" s="3"/>
    </row>
    <row r="423" spans="12:14" ht="14.25" customHeight="1" x14ac:dyDescent="0.25">
      <c r="L423" s="3"/>
      <c r="M423" s="3"/>
      <c r="N423" s="3"/>
    </row>
    <row r="424" spans="12:14" ht="14.25" customHeight="1" x14ac:dyDescent="0.25">
      <c r="L424" s="3"/>
      <c r="M424" s="3"/>
      <c r="N424" s="3"/>
    </row>
    <row r="425" spans="12:14" ht="14.25" customHeight="1" x14ac:dyDescent="0.25">
      <c r="L425" s="3"/>
      <c r="M425" s="3"/>
      <c r="N425" s="3"/>
    </row>
    <row r="426" spans="12:14" ht="14.25" customHeight="1" x14ac:dyDescent="0.25">
      <c r="L426" s="3"/>
      <c r="M426" s="3"/>
      <c r="N426" s="3"/>
    </row>
    <row r="427" spans="12:14" ht="14.25" customHeight="1" x14ac:dyDescent="0.25">
      <c r="L427" s="3"/>
      <c r="M427" s="3"/>
      <c r="N427" s="3"/>
    </row>
    <row r="428" spans="12:14" ht="14.25" customHeight="1" x14ac:dyDescent="0.25">
      <c r="L428" s="3"/>
      <c r="M428" s="3"/>
      <c r="N428" s="3"/>
    </row>
    <row r="429" spans="12:14" ht="14.25" customHeight="1" x14ac:dyDescent="0.25">
      <c r="L429" s="3"/>
      <c r="M429" s="3"/>
      <c r="N429" s="3"/>
    </row>
    <row r="430" spans="12:14" ht="14.25" customHeight="1" x14ac:dyDescent="0.25">
      <c r="L430" s="3"/>
      <c r="M430" s="3"/>
      <c r="N430" s="3"/>
    </row>
    <row r="431" spans="12:14" ht="14.25" customHeight="1" x14ac:dyDescent="0.25">
      <c r="L431" s="3"/>
      <c r="M431" s="3"/>
      <c r="N431" s="3"/>
    </row>
    <row r="432" spans="12:14" ht="14.25" customHeight="1" x14ac:dyDescent="0.25">
      <c r="L432" s="3"/>
      <c r="M432" s="3"/>
      <c r="N432" s="3"/>
    </row>
    <row r="433" spans="12:14" ht="14.25" customHeight="1" x14ac:dyDescent="0.25">
      <c r="L433" s="3"/>
      <c r="M433" s="3"/>
      <c r="N433" s="3"/>
    </row>
    <row r="434" spans="12:14" ht="14.25" customHeight="1" x14ac:dyDescent="0.25">
      <c r="L434" s="3"/>
      <c r="M434" s="3"/>
      <c r="N434" s="3"/>
    </row>
    <row r="435" spans="12:14" ht="14.25" customHeight="1" x14ac:dyDescent="0.25">
      <c r="L435" s="3"/>
      <c r="M435" s="3"/>
      <c r="N435" s="3"/>
    </row>
    <row r="436" spans="12:14" ht="14.25" customHeight="1" x14ac:dyDescent="0.25">
      <c r="L436" s="3"/>
      <c r="M436" s="3"/>
      <c r="N436" s="3"/>
    </row>
    <row r="437" spans="12:14" ht="14.25" customHeight="1" x14ac:dyDescent="0.25">
      <c r="L437" s="3"/>
      <c r="M437" s="3"/>
      <c r="N437" s="3"/>
    </row>
    <row r="438" spans="12:14" ht="14.25" customHeight="1" x14ac:dyDescent="0.25">
      <c r="L438" s="3"/>
      <c r="M438" s="3"/>
      <c r="N438" s="3"/>
    </row>
    <row r="439" spans="12:14" ht="14.25" customHeight="1" x14ac:dyDescent="0.25">
      <c r="L439" s="3"/>
      <c r="M439" s="3"/>
      <c r="N439" s="3"/>
    </row>
    <row r="440" spans="12:14" ht="14.25" customHeight="1" x14ac:dyDescent="0.25">
      <c r="L440" s="3"/>
      <c r="M440" s="3"/>
      <c r="N440" s="3"/>
    </row>
    <row r="441" spans="12:14" ht="14.25" customHeight="1" x14ac:dyDescent="0.25">
      <c r="L441" s="3"/>
      <c r="M441" s="3"/>
      <c r="N441" s="3"/>
    </row>
    <row r="442" spans="12:14" ht="14.25" customHeight="1" x14ac:dyDescent="0.25">
      <c r="L442" s="3"/>
      <c r="M442" s="3"/>
      <c r="N442" s="3"/>
    </row>
    <row r="443" spans="12:14" ht="14.25" customHeight="1" x14ac:dyDescent="0.25">
      <c r="L443" s="3"/>
      <c r="M443" s="3"/>
      <c r="N443" s="3"/>
    </row>
    <row r="444" spans="12:14" ht="14.25" customHeight="1" x14ac:dyDescent="0.25">
      <c r="L444" s="3"/>
      <c r="M444" s="3"/>
      <c r="N444" s="3"/>
    </row>
    <row r="445" spans="12:14" ht="14.25" customHeight="1" x14ac:dyDescent="0.25">
      <c r="L445" s="3"/>
      <c r="M445" s="3"/>
      <c r="N445" s="3"/>
    </row>
    <row r="446" spans="12:14" ht="14.25" customHeight="1" x14ac:dyDescent="0.25">
      <c r="L446" s="3"/>
      <c r="M446" s="3"/>
      <c r="N446" s="3"/>
    </row>
    <row r="447" spans="12:14" ht="14.25" customHeight="1" x14ac:dyDescent="0.25">
      <c r="L447" s="3"/>
      <c r="M447" s="3"/>
      <c r="N447" s="3"/>
    </row>
    <row r="448" spans="12:14" ht="14.25" customHeight="1" x14ac:dyDescent="0.25">
      <c r="L448" s="3"/>
      <c r="M448" s="3"/>
      <c r="N448" s="3"/>
    </row>
    <row r="449" spans="12:14" ht="14.25" customHeight="1" x14ac:dyDescent="0.25">
      <c r="L449" s="3"/>
      <c r="M449" s="3"/>
      <c r="N449" s="3"/>
    </row>
    <row r="450" spans="12:14" ht="14.25" customHeight="1" x14ac:dyDescent="0.25">
      <c r="L450" s="3"/>
      <c r="M450" s="3"/>
      <c r="N450" s="3"/>
    </row>
    <row r="451" spans="12:14" ht="14.25" customHeight="1" x14ac:dyDescent="0.25">
      <c r="L451" s="3"/>
      <c r="M451" s="3"/>
      <c r="N451" s="3"/>
    </row>
    <row r="452" spans="12:14" ht="14.25" customHeight="1" x14ac:dyDescent="0.25">
      <c r="L452" s="3"/>
      <c r="M452" s="3"/>
      <c r="N452" s="3"/>
    </row>
    <row r="453" spans="12:14" ht="14.25" customHeight="1" x14ac:dyDescent="0.25">
      <c r="L453" s="3"/>
      <c r="M453" s="3"/>
      <c r="N453" s="3"/>
    </row>
    <row r="454" spans="12:14" ht="14.25" customHeight="1" x14ac:dyDescent="0.25">
      <c r="L454" s="3"/>
      <c r="M454" s="3"/>
      <c r="N454" s="3"/>
    </row>
    <row r="455" spans="12:14" ht="14.25" customHeight="1" x14ac:dyDescent="0.25">
      <c r="L455" s="3"/>
      <c r="M455" s="3"/>
      <c r="N455" s="3"/>
    </row>
    <row r="456" spans="12:14" ht="14.25" customHeight="1" x14ac:dyDescent="0.25">
      <c r="L456" s="3"/>
      <c r="M456" s="3"/>
      <c r="N456" s="3"/>
    </row>
    <row r="457" spans="12:14" ht="14.25" customHeight="1" x14ac:dyDescent="0.25">
      <c r="L457" s="3"/>
      <c r="M457" s="3"/>
      <c r="N457" s="3"/>
    </row>
    <row r="458" spans="12:14" ht="14.25" customHeight="1" x14ac:dyDescent="0.25">
      <c r="L458" s="3"/>
      <c r="M458" s="3"/>
      <c r="N458" s="3"/>
    </row>
    <row r="459" spans="12:14" ht="14.25" customHeight="1" x14ac:dyDescent="0.25">
      <c r="L459" s="3"/>
      <c r="M459" s="3"/>
      <c r="N459" s="3"/>
    </row>
    <row r="460" spans="12:14" ht="14.25" customHeight="1" x14ac:dyDescent="0.25">
      <c r="L460" s="3"/>
      <c r="M460" s="3"/>
      <c r="N460" s="3"/>
    </row>
    <row r="461" spans="12:14" ht="14.25" customHeight="1" x14ac:dyDescent="0.25">
      <c r="L461" s="3"/>
      <c r="M461" s="3"/>
      <c r="N461" s="3"/>
    </row>
    <row r="462" spans="12:14" ht="14.25" customHeight="1" x14ac:dyDescent="0.25">
      <c r="L462" s="3"/>
      <c r="M462" s="3"/>
      <c r="N462" s="3"/>
    </row>
    <row r="463" spans="12:14" ht="14.25" customHeight="1" x14ac:dyDescent="0.25">
      <c r="L463" s="3"/>
      <c r="M463" s="3"/>
      <c r="N463" s="3"/>
    </row>
    <row r="464" spans="12:14" ht="14.25" customHeight="1" x14ac:dyDescent="0.25">
      <c r="L464" s="3"/>
      <c r="M464" s="3"/>
      <c r="N464" s="3"/>
    </row>
    <row r="465" spans="12:14" ht="14.25" customHeight="1" x14ac:dyDescent="0.25">
      <c r="L465" s="3"/>
      <c r="M465" s="3"/>
      <c r="N465" s="3"/>
    </row>
    <row r="466" spans="12:14" ht="14.25" customHeight="1" x14ac:dyDescent="0.25">
      <c r="L466" s="3"/>
      <c r="M466" s="3"/>
      <c r="N466" s="3"/>
    </row>
    <row r="467" spans="12:14" ht="14.25" customHeight="1" x14ac:dyDescent="0.25">
      <c r="L467" s="3"/>
      <c r="M467" s="3"/>
      <c r="N467" s="3"/>
    </row>
    <row r="468" spans="12:14" ht="14.25" customHeight="1" x14ac:dyDescent="0.25">
      <c r="L468" s="3"/>
      <c r="M468" s="3"/>
      <c r="N468" s="3"/>
    </row>
    <row r="469" spans="12:14" ht="14.25" customHeight="1" x14ac:dyDescent="0.25">
      <c r="L469" s="3"/>
      <c r="M469" s="3"/>
      <c r="N469" s="3"/>
    </row>
    <row r="470" spans="12:14" ht="14.25" customHeight="1" x14ac:dyDescent="0.25">
      <c r="L470" s="3"/>
      <c r="M470" s="3"/>
      <c r="N470" s="3"/>
    </row>
    <row r="471" spans="12:14" ht="14.25" customHeight="1" x14ac:dyDescent="0.25">
      <c r="L471" s="3"/>
      <c r="M471" s="3"/>
      <c r="N471" s="3"/>
    </row>
    <row r="472" spans="12:14" ht="14.25" customHeight="1" x14ac:dyDescent="0.25">
      <c r="L472" s="3"/>
      <c r="M472" s="3"/>
      <c r="N472" s="3"/>
    </row>
    <row r="473" spans="12:14" ht="14.25" customHeight="1" x14ac:dyDescent="0.25">
      <c r="L473" s="3"/>
      <c r="M473" s="3"/>
      <c r="N473" s="3"/>
    </row>
    <row r="474" spans="12:14" ht="14.25" customHeight="1" x14ac:dyDescent="0.25">
      <c r="L474" s="3"/>
      <c r="M474" s="3"/>
      <c r="N474" s="3"/>
    </row>
    <row r="475" spans="12:14" ht="14.25" customHeight="1" x14ac:dyDescent="0.25">
      <c r="L475" s="3"/>
      <c r="M475" s="3"/>
      <c r="N475" s="3"/>
    </row>
    <row r="476" spans="12:14" ht="14.25" customHeight="1" x14ac:dyDescent="0.25">
      <c r="L476" s="3"/>
      <c r="M476" s="3"/>
      <c r="N476" s="3"/>
    </row>
    <row r="477" spans="12:14" ht="14.25" customHeight="1" x14ac:dyDescent="0.25">
      <c r="L477" s="3"/>
      <c r="M477" s="3"/>
      <c r="N477" s="3"/>
    </row>
    <row r="478" spans="12:14" ht="14.25" customHeight="1" x14ac:dyDescent="0.25">
      <c r="L478" s="3"/>
      <c r="M478" s="3"/>
      <c r="N478" s="3"/>
    </row>
    <row r="479" spans="12:14" ht="14.25" customHeight="1" x14ac:dyDescent="0.25">
      <c r="L479" s="3"/>
      <c r="M479" s="3"/>
      <c r="N479" s="3"/>
    </row>
    <row r="480" spans="12:14" ht="14.25" customHeight="1" x14ac:dyDescent="0.25">
      <c r="L480" s="3"/>
      <c r="M480" s="3"/>
      <c r="N480" s="3"/>
    </row>
    <row r="481" spans="12:14" ht="14.25" customHeight="1" x14ac:dyDescent="0.25">
      <c r="L481" s="3"/>
      <c r="M481" s="3"/>
      <c r="N481" s="3"/>
    </row>
    <row r="482" spans="12:14" ht="14.25" customHeight="1" x14ac:dyDescent="0.25">
      <c r="L482" s="3"/>
      <c r="M482" s="3"/>
      <c r="N482" s="3"/>
    </row>
    <row r="483" spans="12:14" ht="14.25" customHeight="1" x14ac:dyDescent="0.25">
      <c r="L483" s="3"/>
      <c r="M483" s="3"/>
      <c r="N483" s="3"/>
    </row>
    <row r="484" spans="12:14" ht="14.25" customHeight="1" x14ac:dyDescent="0.25">
      <c r="L484" s="3"/>
      <c r="M484" s="3"/>
      <c r="N484" s="3"/>
    </row>
    <row r="485" spans="12:14" ht="14.25" customHeight="1" x14ac:dyDescent="0.25">
      <c r="L485" s="3"/>
      <c r="M485" s="3"/>
      <c r="N485" s="3"/>
    </row>
    <row r="486" spans="12:14" ht="14.25" customHeight="1" x14ac:dyDescent="0.25">
      <c r="L486" s="3"/>
      <c r="M486" s="3"/>
      <c r="N486" s="3"/>
    </row>
    <row r="487" spans="12:14" ht="14.25" customHeight="1" x14ac:dyDescent="0.25">
      <c r="L487" s="3"/>
      <c r="M487" s="3"/>
      <c r="N487" s="3"/>
    </row>
    <row r="488" spans="12:14" ht="14.25" customHeight="1" x14ac:dyDescent="0.25">
      <c r="L488" s="3"/>
      <c r="M488" s="3"/>
      <c r="N488" s="3"/>
    </row>
    <row r="489" spans="12:14" ht="14.25" customHeight="1" x14ac:dyDescent="0.25">
      <c r="L489" s="3"/>
      <c r="M489" s="3"/>
      <c r="N489" s="3"/>
    </row>
    <row r="490" spans="12:14" ht="14.25" customHeight="1" x14ac:dyDescent="0.25">
      <c r="L490" s="3"/>
      <c r="M490" s="3"/>
      <c r="N490" s="3"/>
    </row>
    <row r="491" spans="12:14" ht="14.25" customHeight="1" x14ac:dyDescent="0.25">
      <c r="L491" s="3"/>
      <c r="M491" s="3"/>
      <c r="N491" s="3"/>
    </row>
    <row r="492" spans="12:14" ht="14.25" customHeight="1" x14ac:dyDescent="0.25">
      <c r="L492" s="3"/>
      <c r="M492" s="3"/>
      <c r="N492" s="3"/>
    </row>
    <row r="493" spans="12:14" ht="14.25" customHeight="1" x14ac:dyDescent="0.25">
      <c r="L493" s="3"/>
      <c r="M493" s="3"/>
      <c r="N493" s="3"/>
    </row>
    <row r="494" spans="12:14" ht="14.25" customHeight="1" x14ac:dyDescent="0.25">
      <c r="L494" s="3"/>
      <c r="M494" s="3"/>
      <c r="N494" s="3"/>
    </row>
    <row r="495" spans="12:14" ht="14.25" customHeight="1" x14ac:dyDescent="0.25">
      <c r="L495" s="3"/>
      <c r="M495" s="3"/>
      <c r="N495" s="3"/>
    </row>
    <row r="496" spans="12:14" ht="14.25" customHeight="1" x14ac:dyDescent="0.25">
      <c r="L496" s="3"/>
      <c r="M496" s="3"/>
      <c r="N496" s="3"/>
    </row>
    <row r="497" spans="12:14" ht="14.25" customHeight="1" x14ac:dyDescent="0.25">
      <c r="L497" s="3"/>
      <c r="M497" s="3"/>
      <c r="N497" s="3"/>
    </row>
    <row r="498" spans="12:14" ht="14.25" customHeight="1" x14ac:dyDescent="0.25">
      <c r="L498" s="3"/>
      <c r="M498" s="3"/>
      <c r="N498" s="3"/>
    </row>
    <row r="499" spans="12:14" ht="14.25" customHeight="1" x14ac:dyDescent="0.25">
      <c r="L499" s="3"/>
      <c r="M499" s="3"/>
      <c r="N499" s="3"/>
    </row>
    <row r="500" spans="12:14" ht="14.25" customHeight="1" x14ac:dyDescent="0.25">
      <c r="L500" s="3"/>
      <c r="M500" s="3"/>
      <c r="N500" s="3"/>
    </row>
    <row r="501" spans="12:14" ht="14.25" customHeight="1" x14ac:dyDescent="0.25">
      <c r="L501" s="3"/>
      <c r="M501" s="3"/>
      <c r="N501" s="3"/>
    </row>
    <row r="502" spans="12:14" ht="14.25" customHeight="1" x14ac:dyDescent="0.25">
      <c r="L502" s="3"/>
      <c r="M502" s="3"/>
      <c r="N502" s="3"/>
    </row>
    <row r="503" spans="12:14" ht="14.25" customHeight="1" x14ac:dyDescent="0.25">
      <c r="L503" s="3"/>
      <c r="M503" s="3"/>
      <c r="N503" s="3"/>
    </row>
    <row r="504" spans="12:14" ht="14.25" customHeight="1" x14ac:dyDescent="0.25">
      <c r="L504" s="3"/>
      <c r="M504" s="3"/>
      <c r="N504" s="3"/>
    </row>
    <row r="505" spans="12:14" ht="14.25" customHeight="1" x14ac:dyDescent="0.25">
      <c r="L505" s="3"/>
      <c r="M505" s="3"/>
      <c r="N505" s="3"/>
    </row>
    <row r="506" spans="12:14" ht="14.25" customHeight="1" x14ac:dyDescent="0.25">
      <c r="L506" s="3"/>
      <c r="M506" s="3"/>
      <c r="N506" s="3"/>
    </row>
    <row r="507" spans="12:14" ht="14.25" customHeight="1" x14ac:dyDescent="0.25">
      <c r="L507" s="3"/>
      <c r="M507" s="3"/>
      <c r="N507" s="3"/>
    </row>
    <row r="508" spans="12:14" ht="14.25" customHeight="1" x14ac:dyDescent="0.25">
      <c r="L508" s="3"/>
      <c r="M508" s="3"/>
      <c r="N508" s="3"/>
    </row>
    <row r="509" spans="12:14" ht="14.25" customHeight="1" x14ac:dyDescent="0.25">
      <c r="L509" s="3"/>
      <c r="M509" s="3"/>
      <c r="N509" s="3"/>
    </row>
    <row r="510" spans="12:14" ht="14.25" customHeight="1" x14ac:dyDescent="0.25">
      <c r="L510" s="3"/>
      <c r="M510" s="3"/>
      <c r="N510" s="3"/>
    </row>
    <row r="511" spans="12:14" ht="14.25" customHeight="1" x14ac:dyDescent="0.25">
      <c r="L511" s="3"/>
      <c r="M511" s="3"/>
      <c r="N511" s="3"/>
    </row>
    <row r="512" spans="12:14" ht="14.25" customHeight="1" x14ac:dyDescent="0.25">
      <c r="L512" s="3"/>
      <c r="M512" s="3"/>
      <c r="N512" s="3"/>
    </row>
    <row r="513" spans="12:14" ht="14.25" customHeight="1" x14ac:dyDescent="0.25">
      <c r="L513" s="3"/>
      <c r="M513" s="3"/>
      <c r="N513" s="3"/>
    </row>
    <row r="514" spans="12:14" ht="14.25" customHeight="1" x14ac:dyDescent="0.25">
      <c r="L514" s="3"/>
      <c r="M514" s="3"/>
      <c r="N514" s="3"/>
    </row>
    <row r="515" spans="12:14" ht="14.25" customHeight="1" x14ac:dyDescent="0.25">
      <c r="L515" s="3"/>
      <c r="M515" s="3"/>
      <c r="N515" s="3"/>
    </row>
    <row r="516" spans="12:14" ht="14.25" customHeight="1" x14ac:dyDescent="0.25">
      <c r="L516" s="3"/>
      <c r="M516" s="3"/>
      <c r="N516" s="3"/>
    </row>
    <row r="517" spans="12:14" ht="14.25" customHeight="1" x14ac:dyDescent="0.25">
      <c r="L517" s="3"/>
      <c r="M517" s="3"/>
      <c r="N517" s="3"/>
    </row>
    <row r="518" spans="12:14" ht="14.25" customHeight="1" x14ac:dyDescent="0.25">
      <c r="L518" s="3"/>
      <c r="M518" s="3"/>
      <c r="N518" s="3"/>
    </row>
    <row r="519" spans="12:14" ht="14.25" customHeight="1" x14ac:dyDescent="0.25">
      <c r="L519" s="3"/>
      <c r="M519" s="3"/>
      <c r="N519" s="3"/>
    </row>
    <row r="520" spans="12:14" ht="14.25" customHeight="1" x14ac:dyDescent="0.25">
      <c r="L520" s="3"/>
      <c r="M520" s="3"/>
      <c r="N520" s="3"/>
    </row>
    <row r="521" spans="12:14" ht="14.25" customHeight="1" x14ac:dyDescent="0.25">
      <c r="L521" s="3"/>
      <c r="M521" s="3"/>
      <c r="N521" s="3"/>
    </row>
    <row r="522" spans="12:14" ht="14.25" customHeight="1" x14ac:dyDescent="0.25">
      <c r="L522" s="3"/>
      <c r="M522" s="3"/>
      <c r="N522" s="3"/>
    </row>
    <row r="523" spans="12:14" ht="14.25" customHeight="1" x14ac:dyDescent="0.25">
      <c r="L523" s="3"/>
      <c r="M523" s="3"/>
      <c r="N523" s="3"/>
    </row>
    <row r="524" spans="12:14" ht="14.25" customHeight="1" x14ac:dyDescent="0.25">
      <c r="L524" s="3"/>
      <c r="M524" s="3"/>
      <c r="N524" s="3"/>
    </row>
    <row r="525" spans="12:14" ht="14.25" customHeight="1" x14ac:dyDescent="0.25">
      <c r="L525" s="3"/>
      <c r="M525" s="3"/>
      <c r="N525" s="3"/>
    </row>
    <row r="526" spans="12:14" ht="14.25" customHeight="1" x14ac:dyDescent="0.25">
      <c r="L526" s="3"/>
      <c r="M526" s="3"/>
      <c r="N526" s="3"/>
    </row>
    <row r="527" spans="12:14" ht="14.25" customHeight="1" x14ac:dyDescent="0.25">
      <c r="L527" s="3"/>
      <c r="M527" s="3"/>
      <c r="N527" s="3"/>
    </row>
    <row r="528" spans="12:14" ht="14.25" customHeight="1" x14ac:dyDescent="0.25">
      <c r="L528" s="3"/>
      <c r="M528" s="3"/>
      <c r="N528" s="3"/>
    </row>
    <row r="529" spans="12:14" ht="14.25" customHeight="1" x14ac:dyDescent="0.25">
      <c r="L529" s="3"/>
      <c r="M529" s="3"/>
      <c r="N529" s="3"/>
    </row>
    <row r="530" spans="12:14" ht="14.25" customHeight="1" x14ac:dyDescent="0.25">
      <c r="L530" s="3"/>
      <c r="M530" s="3"/>
      <c r="N530" s="3"/>
    </row>
    <row r="531" spans="12:14" ht="14.25" customHeight="1" x14ac:dyDescent="0.25">
      <c r="L531" s="3"/>
      <c r="M531" s="3"/>
      <c r="N531" s="3"/>
    </row>
    <row r="532" spans="12:14" ht="14.25" customHeight="1" x14ac:dyDescent="0.25">
      <c r="L532" s="3"/>
      <c r="M532" s="3"/>
      <c r="N532" s="3"/>
    </row>
    <row r="533" spans="12:14" ht="14.25" customHeight="1" x14ac:dyDescent="0.25">
      <c r="L533" s="3"/>
      <c r="M533" s="3"/>
      <c r="N533" s="3"/>
    </row>
    <row r="534" spans="12:14" ht="14.25" customHeight="1" x14ac:dyDescent="0.25">
      <c r="L534" s="3"/>
      <c r="M534" s="3"/>
      <c r="N534" s="3"/>
    </row>
    <row r="535" spans="12:14" ht="14.25" customHeight="1" x14ac:dyDescent="0.25">
      <c r="L535" s="3"/>
      <c r="M535" s="3"/>
      <c r="N535" s="3"/>
    </row>
    <row r="536" spans="12:14" ht="14.25" customHeight="1" x14ac:dyDescent="0.25">
      <c r="L536" s="3"/>
      <c r="M536" s="3"/>
      <c r="N536" s="3"/>
    </row>
    <row r="537" spans="12:14" ht="14.25" customHeight="1" x14ac:dyDescent="0.25">
      <c r="L537" s="3"/>
      <c r="M537" s="3"/>
      <c r="N537" s="3"/>
    </row>
    <row r="538" spans="12:14" ht="14.25" customHeight="1" x14ac:dyDescent="0.25">
      <c r="L538" s="3"/>
      <c r="M538" s="3"/>
      <c r="N538" s="3"/>
    </row>
    <row r="539" spans="12:14" ht="14.25" customHeight="1" x14ac:dyDescent="0.25">
      <c r="L539" s="3"/>
      <c r="M539" s="3"/>
      <c r="N539" s="3"/>
    </row>
    <row r="540" spans="12:14" ht="14.25" customHeight="1" x14ac:dyDescent="0.25">
      <c r="L540" s="3"/>
      <c r="M540" s="3"/>
      <c r="N540" s="3"/>
    </row>
    <row r="541" spans="12:14" ht="14.25" customHeight="1" x14ac:dyDescent="0.25">
      <c r="L541" s="3"/>
      <c r="M541" s="3"/>
      <c r="N541" s="3"/>
    </row>
    <row r="542" spans="12:14" ht="14.25" customHeight="1" x14ac:dyDescent="0.25">
      <c r="L542" s="3"/>
      <c r="M542" s="3"/>
      <c r="N542" s="3"/>
    </row>
    <row r="543" spans="12:14" ht="14.25" customHeight="1" x14ac:dyDescent="0.25">
      <c r="L543" s="3"/>
      <c r="M543" s="3"/>
      <c r="N543" s="3"/>
    </row>
    <row r="544" spans="12:14" ht="14.25" customHeight="1" x14ac:dyDescent="0.25">
      <c r="L544" s="3"/>
      <c r="M544" s="3"/>
      <c r="N544" s="3"/>
    </row>
    <row r="545" spans="12:14" ht="14.25" customHeight="1" x14ac:dyDescent="0.25">
      <c r="L545" s="3"/>
      <c r="M545" s="3"/>
      <c r="N545" s="3"/>
    </row>
    <row r="546" spans="12:14" ht="14.25" customHeight="1" x14ac:dyDescent="0.25">
      <c r="L546" s="3"/>
      <c r="M546" s="3"/>
      <c r="N546" s="3"/>
    </row>
    <row r="547" spans="12:14" ht="14.25" customHeight="1" x14ac:dyDescent="0.25">
      <c r="L547" s="3"/>
      <c r="M547" s="3"/>
      <c r="N547" s="3"/>
    </row>
    <row r="548" spans="12:14" ht="14.25" customHeight="1" x14ac:dyDescent="0.25">
      <c r="L548" s="3"/>
      <c r="M548" s="3"/>
      <c r="N548" s="3"/>
    </row>
    <row r="549" spans="12:14" ht="14.25" customHeight="1" x14ac:dyDescent="0.25">
      <c r="L549" s="3"/>
      <c r="M549" s="3"/>
      <c r="N549" s="3"/>
    </row>
    <row r="550" spans="12:14" ht="14.25" customHeight="1" x14ac:dyDescent="0.25">
      <c r="L550" s="3"/>
      <c r="M550" s="3"/>
      <c r="N550" s="3"/>
    </row>
    <row r="551" spans="12:14" ht="14.25" customHeight="1" x14ac:dyDescent="0.25">
      <c r="L551" s="3"/>
      <c r="M551" s="3"/>
      <c r="N551" s="3"/>
    </row>
    <row r="552" spans="12:14" ht="14.25" customHeight="1" x14ac:dyDescent="0.25">
      <c r="L552" s="3"/>
      <c r="M552" s="3"/>
      <c r="N552" s="3"/>
    </row>
    <row r="553" spans="12:14" ht="14.25" customHeight="1" x14ac:dyDescent="0.25">
      <c r="L553" s="3"/>
      <c r="M553" s="3"/>
      <c r="N553" s="3"/>
    </row>
    <row r="554" spans="12:14" ht="14.25" customHeight="1" x14ac:dyDescent="0.25">
      <c r="L554" s="3"/>
      <c r="M554" s="3"/>
      <c r="N554" s="3"/>
    </row>
    <row r="555" spans="12:14" ht="14.25" customHeight="1" x14ac:dyDescent="0.25">
      <c r="L555" s="3"/>
      <c r="M555" s="3"/>
      <c r="N555" s="3"/>
    </row>
    <row r="556" spans="12:14" ht="14.25" customHeight="1" x14ac:dyDescent="0.25">
      <c r="L556" s="3"/>
      <c r="M556" s="3"/>
      <c r="N556" s="3"/>
    </row>
    <row r="557" spans="12:14" ht="14.25" customHeight="1" x14ac:dyDescent="0.25">
      <c r="L557" s="3"/>
      <c r="M557" s="3"/>
      <c r="N557" s="3"/>
    </row>
    <row r="558" spans="12:14" ht="14.25" customHeight="1" x14ac:dyDescent="0.25">
      <c r="L558" s="3"/>
      <c r="M558" s="3"/>
      <c r="N558" s="3"/>
    </row>
    <row r="559" spans="12:14" ht="14.25" customHeight="1" x14ac:dyDescent="0.25">
      <c r="L559" s="3"/>
      <c r="M559" s="3"/>
      <c r="N559" s="3"/>
    </row>
    <row r="560" spans="12:14" ht="14.25" customHeight="1" x14ac:dyDescent="0.25">
      <c r="L560" s="3"/>
      <c r="M560" s="3"/>
      <c r="N560" s="3"/>
    </row>
    <row r="561" spans="12:14" ht="14.25" customHeight="1" x14ac:dyDescent="0.25">
      <c r="L561" s="3"/>
      <c r="M561" s="3"/>
      <c r="N561" s="3"/>
    </row>
    <row r="562" spans="12:14" ht="14.25" customHeight="1" x14ac:dyDescent="0.25">
      <c r="L562" s="3"/>
      <c r="M562" s="3"/>
      <c r="N562" s="3"/>
    </row>
    <row r="563" spans="12:14" ht="14.25" customHeight="1" x14ac:dyDescent="0.25">
      <c r="L563" s="3"/>
      <c r="M563" s="3"/>
      <c r="N563" s="3"/>
    </row>
    <row r="564" spans="12:14" ht="14.25" customHeight="1" x14ac:dyDescent="0.25">
      <c r="L564" s="3"/>
      <c r="M564" s="3"/>
      <c r="N564" s="3"/>
    </row>
    <row r="565" spans="12:14" ht="14.25" customHeight="1" x14ac:dyDescent="0.25">
      <c r="L565" s="3"/>
      <c r="M565" s="3"/>
      <c r="N565" s="3"/>
    </row>
    <row r="566" spans="12:14" ht="14.25" customHeight="1" x14ac:dyDescent="0.25">
      <c r="L566" s="3"/>
      <c r="M566" s="3"/>
      <c r="N566" s="3"/>
    </row>
    <row r="567" spans="12:14" ht="14.25" customHeight="1" x14ac:dyDescent="0.25">
      <c r="L567" s="3"/>
      <c r="M567" s="3"/>
      <c r="N567" s="3"/>
    </row>
    <row r="568" spans="12:14" ht="14.25" customHeight="1" x14ac:dyDescent="0.25">
      <c r="L568" s="3"/>
      <c r="M568" s="3"/>
      <c r="N568" s="3"/>
    </row>
    <row r="569" spans="12:14" ht="14.25" customHeight="1" x14ac:dyDescent="0.25">
      <c r="L569" s="3"/>
      <c r="M569" s="3"/>
      <c r="N569" s="3"/>
    </row>
    <row r="570" spans="12:14" ht="14.25" customHeight="1" x14ac:dyDescent="0.25">
      <c r="L570" s="3"/>
      <c r="M570" s="3"/>
      <c r="N570" s="3"/>
    </row>
    <row r="571" spans="12:14" ht="14.25" customHeight="1" x14ac:dyDescent="0.25">
      <c r="L571" s="3"/>
      <c r="M571" s="3"/>
      <c r="N571" s="3"/>
    </row>
    <row r="572" spans="12:14" ht="14.25" customHeight="1" x14ac:dyDescent="0.25">
      <c r="L572" s="3"/>
      <c r="M572" s="3"/>
      <c r="N572" s="3"/>
    </row>
    <row r="573" spans="12:14" ht="14.25" customHeight="1" x14ac:dyDescent="0.25">
      <c r="L573" s="3"/>
      <c r="M573" s="3"/>
      <c r="N573" s="3"/>
    </row>
    <row r="574" spans="12:14" ht="14.25" customHeight="1" x14ac:dyDescent="0.25">
      <c r="L574" s="3"/>
      <c r="M574" s="3"/>
      <c r="N574" s="3"/>
    </row>
    <row r="575" spans="12:14" ht="14.25" customHeight="1" x14ac:dyDescent="0.25">
      <c r="L575" s="3"/>
      <c r="M575" s="3"/>
      <c r="N575" s="3"/>
    </row>
    <row r="576" spans="12:14" ht="14.25" customHeight="1" x14ac:dyDescent="0.25">
      <c r="L576" s="3"/>
      <c r="M576" s="3"/>
      <c r="N576" s="3"/>
    </row>
    <row r="577" spans="12:14" ht="14.25" customHeight="1" x14ac:dyDescent="0.25">
      <c r="L577" s="3"/>
      <c r="M577" s="3"/>
      <c r="N577" s="3"/>
    </row>
    <row r="578" spans="12:14" ht="14.25" customHeight="1" x14ac:dyDescent="0.25">
      <c r="L578" s="3"/>
      <c r="M578" s="3"/>
      <c r="N578" s="3"/>
    </row>
    <row r="579" spans="12:14" ht="14.25" customHeight="1" x14ac:dyDescent="0.25">
      <c r="L579" s="3"/>
      <c r="M579" s="3"/>
      <c r="N579" s="3"/>
    </row>
    <row r="580" spans="12:14" ht="14.25" customHeight="1" x14ac:dyDescent="0.25">
      <c r="L580" s="3"/>
      <c r="M580" s="3"/>
      <c r="N580" s="3"/>
    </row>
    <row r="581" spans="12:14" ht="14.25" customHeight="1" x14ac:dyDescent="0.25">
      <c r="L581" s="3"/>
      <c r="M581" s="3"/>
      <c r="N581" s="3"/>
    </row>
    <row r="582" spans="12:14" ht="14.25" customHeight="1" x14ac:dyDescent="0.25">
      <c r="L582" s="3"/>
      <c r="M582" s="3"/>
      <c r="N582" s="3"/>
    </row>
    <row r="583" spans="12:14" ht="14.25" customHeight="1" x14ac:dyDescent="0.25">
      <c r="L583" s="3"/>
      <c r="M583" s="3"/>
      <c r="N583" s="3"/>
    </row>
    <row r="584" spans="12:14" ht="14.25" customHeight="1" x14ac:dyDescent="0.25">
      <c r="L584" s="3"/>
      <c r="M584" s="3"/>
      <c r="N584" s="3"/>
    </row>
    <row r="585" spans="12:14" ht="14.25" customHeight="1" x14ac:dyDescent="0.25">
      <c r="L585" s="3"/>
      <c r="M585" s="3"/>
      <c r="N585" s="3"/>
    </row>
    <row r="586" spans="12:14" ht="14.25" customHeight="1" x14ac:dyDescent="0.25">
      <c r="L586" s="3"/>
      <c r="M586" s="3"/>
      <c r="N586" s="3"/>
    </row>
    <row r="587" spans="12:14" ht="14.25" customHeight="1" x14ac:dyDescent="0.25">
      <c r="L587" s="3"/>
      <c r="M587" s="3"/>
      <c r="N587" s="3"/>
    </row>
    <row r="588" spans="12:14" ht="14.25" customHeight="1" x14ac:dyDescent="0.25">
      <c r="L588" s="3"/>
      <c r="M588" s="3"/>
      <c r="N588" s="3"/>
    </row>
    <row r="589" spans="12:14" ht="14.25" customHeight="1" x14ac:dyDescent="0.25">
      <c r="L589" s="3"/>
      <c r="M589" s="3"/>
      <c r="N589" s="3"/>
    </row>
    <row r="590" spans="12:14" ht="14.25" customHeight="1" x14ac:dyDescent="0.25">
      <c r="L590" s="3"/>
      <c r="M590" s="3"/>
      <c r="N590" s="3"/>
    </row>
    <row r="591" spans="12:14" ht="14.25" customHeight="1" x14ac:dyDescent="0.25">
      <c r="L591" s="3"/>
      <c r="M591" s="3"/>
      <c r="N591" s="3"/>
    </row>
    <row r="592" spans="12:14" ht="14.25" customHeight="1" x14ac:dyDescent="0.25">
      <c r="L592" s="3"/>
      <c r="M592" s="3"/>
      <c r="N592" s="3"/>
    </row>
    <row r="593" spans="12:14" ht="14.25" customHeight="1" x14ac:dyDescent="0.25">
      <c r="L593" s="3"/>
      <c r="M593" s="3"/>
      <c r="N593" s="3"/>
    </row>
    <row r="594" spans="12:14" ht="14.25" customHeight="1" x14ac:dyDescent="0.25">
      <c r="L594" s="3"/>
      <c r="M594" s="3"/>
      <c r="N594" s="3"/>
    </row>
    <row r="595" spans="12:14" ht="14.25" customHeight="1" x14ac:dyDescent="0.25">
      <c r="L595" s="3"/>
      <c r="M595" s="3"/>
      <c r="N595" s="3"/>
    </row>
    <row r="596" spans="12:14" ht="14.25" customHeight="1" x14ac:dyDescent="0.25">
      <c r="L596" s="3"/>
      <c r="M596" s="3"/>
      <c r="N596" s="3"/>
    </row>
    <row r="597" spans="12:14" ht="14.25" customHeight="1" x14ac:dyDescent="0.25">
      <c r="L597" s="3"/>
      <c r="M597" s="3"/>
      <c r="N597" s="3"/>
    </row>
    <row r="598" spans="12:14" ht="14.25" customHeight="1" x14ac:dyDescent="0.25">
      <c r="L598" s="3"/>
      <c r="M598" s="3"/>
      <c r="N598" s="3"/>
    </row>
    <row r="599" spans="12:14" ht="14.25" customHeight="1" x14ac:dyDescent="0.25">
      <c r="L599" s="3"/>
      <c r="M599" s="3"/>
      <c r="N599" s="3"/>
    </row>
    <row r="600" spans="12:14" ht="14.25" customHeight="1" x14ac:dyDescent="0.25">
      <c r="L600" s="3"/>
      <c r="M600" s="3"/>
      <c r="N600" s="3"/>
    </row>
    <row r="601" spans="12:14" ht="14.25" customHeight="1" x14ac:dyDescent="0.25">
      <c r="L601" s="3"/>
      <c r="M601" s="3"/>
      <c r="N601" s="3"/>
    </row>
    <row r="602" spans="12:14" ht="14.25" customHeight="1" x14ac:dyDescent="0.25">
      <c r="L602" s="3"/>
      <c r="M602" s="3"/>
      <c r="N602" s="3"/>
    </row>
    <row r="603" spans="12:14" ht="14.25" customHeight="1" x14ac:dyDescent="0.25">
      <c r="L603" s="3"/>
      <c r="M603" s="3"/>
      <c r="N603" s="3"/>
    </row>
    <row r="604" spans="12:14" ht="14.25" customHeight="1" x14ac:dyDescent="0.25">
      <c r="L604" s="3"/>
      <c r="M604" s="3"/>
      <c r="N604" s="3"/>
    </row>
    <row r="605" spans="12:14" ht="14.25" customHeight="1" x14ac:dyDescent="0.25">
      <c r="L605" s="3"/>
      <c r="M605" s="3"/>
      <c r="N605" s="3"/>
    </row>
    <row r="606" spans="12:14" ht="14.25" customHeight="1" x14ac:dyDescent="0.25">
      <c r="L606" s="3"/>
      <c r="M606" s="3"/>
      <c r="N606" s="3"/>
    </row>
    <row r="607" spans="12:14" ht="14.25" customHeight="1" x14ac:dyDescent="0.25">
      <c r="L607" s="3"/>
      <c r="M607" s="3"/>
      <c r="N607" s="3"/>
    </row>
    <row r="608" spans="12:14" ht="14.25" customHeight="1" x14ac:dyDescent="0.25">
      <c r="L608" s="3"/>
      <c r="M608" s="3"/>
      <c r="N608" s="3"/>
    </row>
    <row r="609" spans="12:14" ht="14.25" customHeight="1" x14ac:dyDescent="0.25">
      <c r="L609" s="3"/>
      <c r="M609" s="3"/>
      <c r="N609" s="3"/>
    </row>
    <row r="610" spans="12:14" ht="14.25" customHeight="1" x14ac:dyDescent="0.25">
      <c r="L610" s="3"/>
      <c r="M610" s="3"/>
      <c r="N610" s="3"/>
    </row>
    <row r="611" spans="12:14" ht="14.25" customHeight="1" x14ac:dyDescent="0.25">
      <c r="L611" s="3"/>
      <c r="M611" s="3"/>
      <c r="N611" s="3"/>
    </row>
    <row r="612" spans="12:14" ht="14.25" customHeight="1" x14ac:dyDescent="0.25">
      <c r="L612" s="3"/>
      <c r="M612" s="3"/>
      <c r="N612" s="3"/>
    </row>
    <row r="613" spans="12:14" ht="14.25" customHeight="1" x14ac:dyDescent="0.25">
      <c r="L613" s="3"/>
      <c r="M613" s="3"/>
      <c r="N613" s="3"/>
    </row>
    <row r="614" spans="12:14" ht="14.25" customHeight="1" x14ac:dyDescent="0.25">
      <c r="L614" s="3"/>
      <c r="M614" s="3"/>
      <c r="N614" s="3"/>
    </row>
    <row r="615" spans="12:14" ht="14.25" customHeight="1" x14ac:dyDescent="0.25">
      <c r="L615" s="3"/>
      <c r="M615" s="3"/>
      <c r="N615" s="3"/>
    </row>
    <row r="616" spans="12:14" ht="14.25" customHeight="1" x14ac:dyDescent="0.25">
      <c r="L616" s="3"/>
      <c r="M616" s="3"/>
      <c r="N616" s="3"/>
    </row>
    <row r="617" spans="12:14" ht="14.25" customHeight="1" x14ac:dyDescent="0.25">
      <c r="L617" s="3"/>
      <c r="M617" s="3"/>
      <c r="N617" s="3"/>
    </row>
    <row r="618" spans="12:14" ht="14.25" customHeight="1" x14ac:dyDescent="0.25">
      <c r="L618" s="3"/>
      <c r="M618" s="3"/>
      <c r="N618" s="3"/>
    </row>
    <row r="619" spans="12:14" ht="14.25" customHeight="1" x14ac:dyDescent="0.25">
      <c r="L619" s="3"/>
      <c r="M619" s="3"/>
      <c r="N619" s="3"/>
    </row>
    <row r="620" spans="12:14" ht="14.25" customHeight="1" x14ac:dyDescent="0.25">
      <c r="L620" s="3"/>
      <c r="M620" s="3"/>
      <c r="N620" s="3"/>
    </row>
    <row r="621" spans="12:14" ht="14.25" customHeight="1" x14ac:dyDescent="0.25">
      <c r="L621" s="3"/>
      <c r="M621" s="3"/>
      <c r="N621" s="3"/>
    </row>
    <row r="622" spans="12:14" ht="14.25" customHeight="1" x14ac:dyDescent="0.25">
      <c r="L622" s="3"/>
      <c r="M622" s="3"/>
      <c r="N622" s="3"/>
    </row>
    <row r="623" spans="12:14" ht="14.25" customHeight="1" x14ac:dyDescent="0.25">
      <c r="L623" s="3"/>
      <c r="M623" s="3"/>
      <c r="N623" s="3"/>
    </row>
    <row r="624" spans="12:14" ht="14.25" customHeight="1" x14ac:dyDescent="0.25">
      <c r="L624" s="3"/>
      <c r="M624" s="3"/>
      <c r="N624" s="3"/>
    </row>
    <row r="625" spans="12:14" ht="14.25" customHeight="1" x14ac:dyDescent="0.25">
      <c r="L625" s="3"/>
      <c r="M625" s="3"/>
      <c r="N625" s="3"/>
    </row>
    <row r="626" spans="12:14" ht="14.25" customHeight="1" x14ac:dyDescent="0.25">
      <c r="L626" s="3"/>
      <c r="M626" s="3"/>
      <c r="N626" s="3"/>
    </row>
    <row r="627" spans="12:14" ht="14.25" customHeight="1" x14ac:dyDescent="0.25">
      <c r="L627" s="3"/>
      <c r="M627" s="3"/>
      <c r="N627" s="3"/>
    </row>
    <row r="628" spans="12:14" ht="14.25" customHeight="1" x14ac:dyDescent="0.25">
      <c r="L628" s="3"/>
      <c r="M628" s="3"/>
      <c r="N628" s="3"/>
    </row>
    <row r="629" spans="12:14" ht="14.25" customHeight="1" x14ac:dyDescent="0.25">
      <c r="L629" s="3"/>
      <c r="M629" s="3"/>
      <c r="N629" s="3"/>
    </row>
    <row r="630" spans="12:14" ht="14.25" customHeight="1" x14ac:dyDescent="0.25">
      <c r="L630" s="3"/>
      <c r="M630" s="3"/>
      <c r="N630" s="3"/>
    </row>
    <row r="631" spans="12:14" ht="14.25" customHeight="1" x14ac:dyDescent="0.25">
      <c r="L631" s="3"/>
      <c r="M631" s="3"/>
      <c r="N631" s="3"/>
    </row>
    <row r="632" spans="12:14" ht="14.25" customHeight="1" x14ac:dyDescent="0.25">
      <c r="L632" s="3"/>
      <c r="M632" s="3"/>
      <c r="N632" s="3"/>
    </row>
    <row r="633" spans="12:14" ht="14.25" customHeight="1" x14ac:dyDescent="0.25">
      <c r="L633" s="3"/>
      <c r="M633" s="3"/>
      <c r="N633" s="3"/>
    </row>
    <row r="634" spans="12:14" ht="14.25" customHeight="1" x14ac:dyDescent="0.25">
      <c r="L634" s="3"/>
      <c r="M634" s="3"/>
      <c r="N634" s="3"/>
    </row>
    <row r="635" spans="12:14" ht="14.25" customHeight="1" x14ac:dyDescent="0.25">
      <c r="L635" s="3"/>
      <c r="M635" s="3"/>
      <c r="N635" s="3"/>
    </row>
    <row r="636" spans="12:14" ht="14.25" customHeight="1" x14ac:dyDescent="0.25">
      <c r="L636" s="3"/>
      <c r="M636" s="3"/>
      <c r="N636" s="3"/>
    </row>
    <row r="637" spans="12:14" ht="14.25" customHeight="1" x14ac:dyDescent="0.25">
      <c r="L637" s="3"/>
      <c r="M637" s="3"/>
      <c r="N637" s="3"/>
    </row>
    <row r="638" spans="12:14" ht="14.25" customHeight="1" x14ac:dyDescent="0.25">
      <c r="L638" s="3"/>
      <c r="M638" s="3"/>
      <c r="N638" s="3"/>
    </row>
    <row r="639" spans="12:14" ht="14.25" customHeight="1" x14ac:dyDescent="0.25">
      <c r="L639" s="3"/>
      <c r="M639" s="3"/>
      <c r="N639" s="3"/>
    </row>
    <row r="640" spans="12:14" ht="14.25" customHeight="1" x14ac:dyDescent="0.25">
      <c r="L640" s="3"/>
      <c r="M640" s="3"/>
      <c r="N640" s="3"/>
    </row>
    <row r="641" spans="12:14" ht="14.25" customHeight="1" x14ac:dyDescent="0.25">
      <c r="L641" s="3"/>
      <c r="M641" s="3"/>
      <c r="N641" s="3"/>
    </row>
    <row r="642" spans="12:14" ht="14.25" customHeight="1" x14ac:dyDescent="0.25">
      <c r="L642" s="3"/>
      <c r="M642" s="3"/>
      <c r="N642" s="3"/>
    </row>
    <row r="643" spans="12:14" ht="14.25" customHeight="1" x14ac:dyDescent="0.25">
      <c r="L643" s="3"/>
      <c r="M643" s="3"/>
      <c r="N643" s="3"/>
    </row>
    <row r="644" spans="12:14" ht="14.25" customHeight="1" x14ac:dyDescent="0.25">
      <c r="L644" s="3"/>
      <c r="M644" s="3"/>
      <c r="N644" s="3"/>
    </row>
    <row r="645" spans="12:14" ht="14.25" customHeight="1" x14ac:dyDescent="0.25">
      <c r="L645" s="3"/>
      <c r="M645" s="3"/>
      <c r="N645" s="3"/>
    </row>
    <row r="646" spans="12:14" ht="14.25" customHeight="1" x14ac:dyDescent="0.25">
      <c r="L646" s="3"/>
      <c r="M646" s="3"/>
      <c r="N646" s="3"/>
    </row>
    <row r="647" spans="12:14" ht="14.25" customHeight="1" x14ac:dyDescent="0.25">
      <c r="L647" s="3"/>
      <c r="M647" s="3"/>
      <c r="N647" s="3"/>
    </row>
    <row r="648" spans="12:14" ht="14.25" customHeight="1" x14ac:dyDescent="0.25">
      <c r="L648" s="3"/>
      <c r="M648" s="3"/>
      <c r="N648" s="3"/>
    </row>
    <row r="649" spans="12:14" ht="14.25" customHeight="1" x14ac:dyDescent="0.25">
      <c r="L649" s="3"/>
      <c r="M649" s="3"/>
      <c r="N649" s="3"/>
    </row>
    <row r="650" spans="12:14" ht="14.25" customHeight="1" x14ac:dyDescent="0.25">
      <c r="L650" s="3"/>
      <c r="M650" s="3"/>
      <c r="N650" s="3"/>
    </row>
    <row r="651" spans="12:14" ht="14.25" customHeight="1" x14ac:dyDescent="0.25">
      <c r="L651" s="3"/>
      <c r="M651" s="3"/>
      <c r="N651" s="3"/>
    </row>
    <row r="652" spans="12:14" ht="14.25" customHeight="1" x14ac:dyDescent="0.25">
      <c r="L652" s="3"/>
      <c r="M652" s="3"/>
      <c r="N652" s="3"/>
    </row>
    <row r="653" spans="12:14" ht="14.25" customHeight="1" x14ac:dyDescent="0.25">
      <c r="L653" s="3"/>
      <c r="M653" s="3"/>
      <c r="N653" s="3"/>
    </row>
    <row r="654" spans="12:14" ht="14.25" customHeight="1" x14ac:dyDescent="0.25">
      <c r="L654" s="3"/>
      <c r="M654" s="3"/>
      <c r="N654" s="3"/>
    </row>
    <row r="655" spans="12:14" ht="14.25" customHeight="1" x14ac:dyDescent="0.25">
      <c r="L655" s="3"/>
      <c r="M655" s="3"/>
      <c r="N655" s="3"/>
    </row>
    <row r="656" spans="12:14" ht="14.25" customHeight="1" x14ac:dyDescent="0.25">
      <c r="L656" s="3"/>
      <c r="M656" s="3"/>
      <c r="N656" s="3"/>
    </row>
    <row r="657" spans="12:14" ht="14.25" customHeight="1" x14ac:dyDescent="0.25">
      <c r="L657" s="3"/>
      <c r="M657" s="3"/>
      <c r="N657" s="3"/>
    </row>
    <row r="658" spans="12:14" ht="14.25" customHeight="1" x14ac:dyDescent="0.25">
      <c r="L658" s="3"/>
      <c r="M658" s="3"/>
      <c r="N658" s="3"/>
    </row>
    <row r="659" spans="12:14" ht="14.25" customHeight="1" x14ac:dyDescent="0.25">
      <c r="L659" s="3"/>
      <c r="M659" s="3"/>
      <c r="N659" s="3"/>
    </row>
    <row r="660" spans="12:14" ht="14.25" customHeight="1" x14ac:dyDescent="0.25">
      <c r="L660" s="3"/>
      <c r="M660" s="3"/>
      <c r="N660" s="3"/>
    </row>
    <row r="661" spans="12:14" ht="14.25" customHeight="1" x14ac:dyDescent="0.25">
      <c r="L661" s="3"/>
      <c r="M661" s="3"/>
      <c r="N661" s="3"/>
    </row>
    <row r="662" spans="12:14" ht="14.25" customHeight="1" x14ac:dyDescent="0.25">
      <c r="L662" s="3"/>
      <c r="M662" s="3"/>
      <c r="N662" s="3"/>
    </row>
    <row r="663" spans="12:14" ht="14.25" customHeight="1" x14ac:dyDescent="0.25">
      <c r="L663" s="3"/>
      <c r="M663" s="3"/>
      <c r="N663" s="3"/>
    </row>
    <row r="664" spans="12:14" ht="14.25" customHeight="1" x14ac:dyDescent="0.25">
      <c r="L664" s="3"/>
      <c r="M664" s="3"/>
      <c r="N664" s="3"/>
    </row>
    <row r="665" spans="12:14" ht="14.25" customHeight="1" x14ac:dyDescent="0.25">
      <c r="L665" s="3"/>
      <c r="M665" s="3"/>
      <c r="N665" s="3"/>
    </row>
    <row r="666" spans="12:14" ht="14.25" customHeight="1" x14ac:dyDescent="0.25">
      <c r="L666" s="3"/>
      <c r="M666" s="3"/>
      <c r="N666" s="3"/>
    </row>
    <row r="667" spans="12:14" ht="14.25" customHeight="1" x14ac:dyDescent="0.25">
      <c r="L667" s="3"/>
      <c r="M667" s="3"/>
      <c r="N667" s="3"/>
    </row>
    <row r="668" spans="12:14" ht="14.25" customHeight="1" x14ac:dyDescent="0.25">
      <c r="L668" s="3"/>
      <c r="M668" s="3"/>
      <c r="N668" s="3"/>
    </row>
    <row r="669" spans="12:14" ht="14.25" customHeight="1" x14ac:dyDescent="0.25">
      <c r="L669" s="3"/>
      <c r="M669" s="3"/>
      <c r="N669" s="3"/>
    </row>
    <row r="670" spans="12:14" ht="14.25" customHeight="1" x14ac:dyDescent="0.25">
      <c r="L670" s="3"/>
      <c r="M670" s="3"/>
      <c r="N670" s="3"/>
    </row>
    <row r="671" spans="12:14" ht="14.25" customHeight="1" x14ac:dyDescent="0.25">
      <c r="L671" s="3"/>
      <c r="M671" s="3"/>
      <c r="N671" s="3"/>
    </row>
    <row r="672" spans="12:14" ht="14.25" customHeight="1" x14ac:dyDescent="0.25">
      <c r="L672" s="3"/>
      <c r="M672" s="3"/>
      <c r="N672" s="3"/>
    </row>
    <row r="673" spans="12:14" ht="14.25" customHeight="1" x14ac:dyDescent="0.25">
      <c r="L673" s="3"/>
      <c r="M673" s="3"/>
      <c r="N673" s="3"/>
    </row>
    <row r="674" spans="12:14" ht="14.25" customHeight="1" x14ac:dyDescent="0.25">
      <c r="L674" s="3"/>
      <c r="M674" s="3"/>
      <c r="N674" s="3"/>
    </row>
    <row r="675" spans="12:14" ht="14.25" customHeight="1" x14ac:dyDescent="0.25">
      <c r="L675" s="3"/>
      <c r="M675" s="3"/>
      <c r="N675" s="3"/>
    </row>
    <row r="676" spans="12:14" ht="14.25" customHeight="1" x14ac:dyDescent="0.25">
      <c r="L676" s="3"/>
      <c r="M676" s="3"/>
      <c r="N676" s="3"/>
    </row>
    <row r="677" spans="12:14" ht="14.25" customHeight="1" x14ac:dyDescent="0.25">
      <c r="L677" s="3"/>
      <c r="M677" s="3"/>
      <c r="N677" s="3"/>
    </row>
    <row r="678" spans="12:14" ht="14.25" customHeight="1" x14ac:dyDescent="0.25">
      <c r="L678" s="3"/>
      <c r="M678" s="3"/>
      <c r="N678" s="3"/>
    </row>
    <row r="679" spans="12:14" ht="14.25" customHeight="1" x14ac:dyDescent="0.25">
      <c r="L679" s="3"/>
      <c r="M679" s="3"/>
      <c r="N679" s="3"/>
    </row>
    <row r="680" spans="12:14" ht="14.25" customHeight="1" x14ac:dyDescent="0.25">
      <c r="L680" s="3"/>
      <c r="M680" s="3"/>
      <c r="N680" s="3"/>
    </row>
    <row r="681" spans="12:14" ht="14.25" customHeight="1" x14ac:dyDescent="0.25">
      <c r="L681" s="3"/>
      <c r="M681" s="3"/>
      <c r="N681" s="3"/>
    </row>
    <row r="682" spans="12:14" ht="14.25" customHeight="1" x14ac:dyDescent="0.25">
      <c r="L682" s="3"/>
      <c r="M682" s="3"/>
      <c r="N682" s="3"/>
    </row>
    <row r="683" spans="12:14" ht="14.25" customHeight="1" x14ac:dyDescent="0.25">
      <c r="L683" s="3"/>
      <c r="M683" s="3"/>
      <c r="N683" s="3"/>
    </row>
    <row r="684" spans="12:14" ht="14.25" customHeight="1" x14ac:dyDescent="0.25">
      <c r="L684" s="3"/>
      <c r="M684" s="3"/>
      <c r="N684" s="3"/>
    </row>
    <row r="685" spans="12:14" ht="14.25" customHeight="1" x14ac:dyDescent="0.25">
      <c r="L685" s="3"/>
      <c r="M685" s="3"/>
      <c r="N685" s="3"/>
    </row>
    <row r="686" spans="12:14" ht="14.25" customHeight="1" x14ac:dyDescent="0.25">
      <c r="L686" s="3"/>
      <c r="M686" s="3"/>
      <c r="N686" s="3"/>
    </row>
    <row r="687" spans="12:14" ht="14.25" customHeight="1" x14ac:dyDescent="0.25">
      <c r="L687" s="3"/>
      <c r="M687" s="3"/>
      <c r="N687" s="3"/>
    </row>
    <row r="688" spans="12:14" ht="14.25" customHeight="1" x14ac:dyDescent="0.25">
      <c r="L688" s="3"/>
      <c r="M688" s="3"/>
      <c r="N688" s="3"/>
    </row>
    <row r="689" spans="12:14" ht="14.25" customHeight="1" x14ac:dyDescent="0.25">
      <c r="L689" s="3"/>
      <c r="M689" s="3"/>
      <c r="N689" s="3"/>
    </row>
    <row r="690" spans="12:14" ht="14.25" customHeight="1" x14ac:dyDescent="0.25">
      <c r="L690" s="3"/>
      <c r="M690" s="3"/>
      <c r="N690" s="3"/>
    </row>
    <row r="691" spans="12:14" ht="14.25" customHeight="1" x14ac:dyDescent="0.25">
      <c r="L691" s="3"/>
      <c r="M691" s="3"/>
      <c r="N691" s="3"/>
    </row>
    <row r="692" spans="12:14" ht="14.25" customHeight="1" x14ac:dyDescent="0.25">
      <c r="L692" s="3"/>
      <c r="M692" s="3"/>
      <c r="N692" s="3"/>
    </row>
    <row r="693" spans="12:14" ht="14.25" customHeight="1" x14ac:dyDescent="0.25">
      <c r="L693" s="3"/>
      <c r="M693" s="3"/>
      <c r="N693" s="3"/>
    </row>
    <row r="694" spans="12:14" ht="14.25" customHeight="1" x14ac:dyDescent="0.25">
      <c r="L694" s="3"/>
      <c r="M694" s="3"/>
      <c r="N694" s="3"/>
    </row>
    <row r="695" spans="12:14" ht="14.25" customHeight="1" x14ac:dyDescent="0.25">
      <c r="L695" s="3"/>
      <c r="M695" s="3"/>
      <c r="N695" s="3"/>
    </row>
    <row r="696" spans="12:14" ht="14.25" customHeight="1" x14ac:dyDescent="0.25">
      <c r="L696" s="3"/>
      <c r="M696" s="3"/>
      <c r="N696" s="3"/>
    </row>
    <row r="697" spans="12:14" ht="14.25" customHeight="1" x14ac:dyDescent="0.25">
      <c r="L697" s="3"/>
      <c r="M697" s="3"/>
      <c r="N697" s="3"/>
    </row>
    <row r="698" spans="12:14" ht="14.25" customHeight="1" x14ac:dyDescent="0.25">
      <c r="L698" s="3"/>
      <c r="M698" s="3"/>
      <c r="N698" s="3"/>
    </row>
    <row r="699" spans="12:14" ht="14.25" customHeight="1" x14ac:dyDescent="0.25">
      <c r="L699" s="3"/>
      <c r="M699" s="3"/>
      <c r="N699" s="3"/>
    </row>
    <row r="700" spans="12:14" ht="14.25" customHeight="1" x14ac:dyDescent="0.25">
      <c r="L700" s="3"/>
      <c r="M700" s="3"/>
      <c r="N700" s="3"/>
    </row>
    <row r="701" spans="12:14" ht="14.25" customHeight="1" x14ac:dyDescent="0.25">
      <c r="L701" s="3"/>
      <c r="M701" s="3"/>
      <c r="N701" s="3"/>
    </row>
    <row r="702" spans="12:14" ht="14.25" customHeight="1" x14ac:dyDescent="0.25">
      <c r="L702" s="3"/>
      <c r="M702" s="3"/>
      <c r="N702" s="3"/>
    </row>
    <row r="703" spans="12:14" ht="14.25" customHeight="1" x14ac:dyDescent="0.25">
      <c r="L703" s="3"/>
      <c r="M703" s="3"/>
      <c r="N703" s="3"/>
    </row>
    <row r="704" spans="12:14" ht="14.25" customHeight="1" x14ac:dyDescent="0.25">
      <c r="L704" s="3"/>
      <c r="M704" s="3"/>
      <c r="N704" s="3"/>
    </row>
    <row r="705" spans="12:14" ht="14.25" customHeight="1" x14ac:dyDescent="0.25">
      <c r="L705" s="3"/>
      <c r="M705" s="3"/>
      <c r="N705" s="3"/>
    </row>
    <row r="706" spans="12:14" ht="14.25" customHeight="1" x14ac:dyDescent="0.25">
      <c r="L706" s="3"/>
      <c r="M706" s="3"/>
      <c r="N706" s="3"/>
    </row>
    <row r="707" spans="12:14" ht="14.25" customHeight="1" x14ac:dyDescent="0.25">
      <c r="L707" s="3"/>
      <c r="M707" s="3"/>
      <c r="N707" s="3"/>
    </row>
    <row r="708" spans="12:14" ht="14.25" customHeight="1" x14ac:dyDescent="0.25">
      <c r="L708" s="3"/>
      <c r="M708" s="3"/>
      <c r="N708" s="3"/>
    </row>
    <row r="709" spans="12:14" ht="14.25" customHeight="1" x14ac:dyDescent="0.25">
      <c r="L709" s="3"/>
      <c r="M709" s="3"/>
      <c r="N709" s="3"/>
    </row>
    <row r="710" spans="12:14" ht="14.25" customHeight="1" x14ac:dyDescent="0.25">
      <c r="L710" s="3"/>
      <c r="M710" s="3"/>
      <c r="N710" s="3"/>
    </row>
    <row r="711" spans="12:14" ht="14.25" customHeight="1" x14ac:dyDescent="0.25">
      <c r="L711" s="3"/>
      <c r="M711" s="3"/>
      <c r="N711" s="3"/>
    </row>
    <row r="712" spans="12:14" ht="14.25" customHeight="1" x14ac:dyDescent="0.25">
      <c r="L712" s="3"/>
      <c r="M712" s="3"/>
      <c r="N712" s="3"/>
    </row>
    <row r="713" spans="12:14" ht="14.25" customHeight="1" x14ac:dyDescent="0.25">
      <c r="L713" s="3"/>
      <c r="M713" s="3"/>
      <c r="N713" s="3"/>
    </row>
    <row r="714" spans="12:14" ht="14.25" customHeight="1" x14ac:dyDescent="0.25">
      <c r="L714" s="3"/>
      <c r="M714" s="3"/>
      <c r="N714" s="3"/>
    </row>
    <row r="715" spans="12:14" ht="14.25" customHeight="1" x14ac:dyDescent="0.25">
      <c r="L715" s="3"/>
      <c r="M715" s="3"/>
      <c r="N715" s="3"/>
    </row>
    <row r="716" spans="12:14" ht="14.25" customHeight="1" x14ac:dyDescent="0.25">
      <c r="L716" s="3"/>
      <c r="M716" s="3"/>
      <c r="N716" s="3"/>
    </row>
    <row r="717" spans="12:14" ht="14.25" customHeight="1" x14ac:dyDescent="0.25">
      <c r="L717" s="3"/>
      <c r="M717" s="3"/>
      <c r="N717" s="3"/>
    </row>
    <row r="718" spans="12:14" ht="14.25" customHeight="1" x14ac:dyDescent="0.25">
      <c r="L718" s="3"/>
      <c r="M718" s="3"/>
      <c r="N718" s="3"/>
    </row>
    <row r="719" spans="12:14" ht="14.25" customHeight="1" x14ac:dyDescent="0.25">
      <c r="L719" s="3"/>
      <c r="M719" s="3"/>
      <c r="N719" s="3"/>
    </row>
    <row r="720" spans="12:14" ht="14.25" customHeight="1" x14ac:dyDescent="0.25">
      <c r="L720" s="3"/>
      <c r="M720" s="3"/>
      <c r="N720" s="3"/>
    </row>
    <row r="721" spans="12:14" ht="14.25" customHeight="1" x14ac:dyDescent="0.25">
      <c r="L721" s="3"/>
      <c r="M721" s="3"/>
      <c r="N721" s="3"/>
    </row>
    <row r="722" spans="12:14" ht="14.25" customHeight="1" x14ac:dyDescent="0.25">
      <c r="L722" s="3"/>
      <c r="M722" s="3"/>
      <c r="N722" s="3"/>
    </row>
    <row r="723" spans="12:14" ht="14.25" customHeight="1" x14ac:dyDescent="0.25">
      <c r="L723" s="3"/>
      <c r="M723" s="3"/>
      <c r="N723" s="3"/>
    </row>
    <row r="724" spans="12:14" ht="14.25" customHeight="1" x14ac:dyDescent="0.25">
      <c r="L724" s="3"/>
      <c r="M724" s="3"/>
      <c r="N724" s="3"/>
    </row>
    <row r="725" spans="12:14" ht="14.25" customHeight="1" x14ac:dyDescent="0.25">
      <c r="L725" s="3"/>
      <c r="M725" s="3"/>
      <c r="N725" s="3"/>
    </row>
    <row r="726" spans="12:14" ht="14.25" customHeight="1" x14ac:dyDescent="0.25">
      <c r="L726" s="3"/>
      <c r="M726" s="3"/>
      <c r="N726" s="3"/>
    </row>
    <row r="727" spans="12:14" ht="14.25" customHeight="1" x14ac:dyDescent="0.25">
      <c r="L727" s="3"/>
      <c r="M727" s="3"/>
      <c r="N727" s="3"/>
    </row>
    <row r="728" spans="12:14" ht="14.25" customHeight="1" x14ac:dyDescent="0.25">
      <c r="L728" s="3"/>
      <c r="M728" s="3"/>
      <c r="N728" s="3"/>
    </row>
    <row r="729" spans="12:14" ht="14.25" customHeight="1" x14ac:dyDescent="0.25">
      <c r="L729" s="3"/>
      <c r="M729" s="3"/>
      <c r="N729" s="3"/>
    </row>
    <row r="730" spans="12:14" ht="14.25" customHeight="1" x14ac:dyDescent="0.25">
      <c r="L730" s="3"/>
      <c r="M730" s="3"/>
      <c r="N730" s="3"/>
    </row>
    <row r="731" spans="12:14" ht="14.25" customHeight="1" x14ac:dyDescent="0.25">
      <c r="L731" s="3"/>
      <c r="M731" s="3"/>
      <c r="N731" s="3"/>
    </row>
    <row r="732" spans="12:14" ht="14.25" customHeight="1" x14ac:dyDescent="0.25">
      <c r="L732" s="3"/>
      <c r="M732" s="3"/>
      <c r="N732" s="3"/>
    </row>
    <row r="733" spans="12:14" ht="14.25" customHeight="1" x14ac:dyDescent="0.25">
      <c r="L733" s="3"/>
      <c r="M733" s="3"/>
      <c r="N733" s="3"/>
    </row>
    <row r="734" spans="12:14" ht="14.25" customHeight="1" x14ac:dyDescent="0.25">
      <c r="L734" s="3"/>
      <c r="M734" s="3"/>
      <c r="N734" s="3"/>
    </row>
    <row r="735" spans="12:14" ht="14.25" customHeight="1" x14ac:dyDescent="0.25">
      <c r="L735" s="3"/>
      <c r="M735" s="3"/>
      <c r="N735" s="3"/>
    </row>
    <row r="736" spans="12:14" ht="14.25" customHeight="1" x14ac:dyDescent="0.25">
      <c r="L736" s="3"/>
      <c r="M736" s="3"/>
      <c r="N736" s="3"/>
    </row>
    <row r="737" spans="12:14" ht="14.25" customHeight="1" x14ac:dyDescent="0.25">
      <c r="L737" s="3"/>
      <c r="M737" s="3"/>
      <c r="N737" s="3"/>
    </row>
    <row r="738" spans="12:14" ht="14.25" customHeight="1" x14ac:dyDescent="0.25">
      <c r="L738" s="3"/>
      <c r="M738" s="3"/>
      <c r="N738" s="3"/>
    </row>
    <row r="739" spans="12:14" ht="14.25" customHeight="1" x14ac:dyDescent="0.25">
      <c r="L739" s="3"/>
      <c r="M739" s="3"/>
      <c r="N739" s="3"/>
    </row>
    <row r="740" spans="12:14" ht="14.25" customHeight="1" x14ac:dyDescent="0.25">
      <c r="L740" s="3"/>
      <c r="M740" s="3"/>
      <c r="N740" s="3"/>
    </row>
    <row r="741" spans="12:14" ht="14.25" customHeight="1" x14ac:dyDescent="0.25">
      <c r="L741" s="3"/>
      <c r="M741" s="3"/>
      <c r="N741" s="3"/>
    </row>
    <row r="742" spans="12:14" ht="14.25" customHeight="1" x14ac:dyDescent="0.25">
      <c r="L742" s="3"/>
      <c r="M742" s="3"/>
      <c r="N742" s="3"/>
    </row>
    <row r="743" spans="12:14" ht="14.25" customHeight="1" x14ac:dyDescent="0.25">
      <c r="L743" s="3"/>
      <c r="M743" s="3"/>
      <c r="N743" s="3"/>
    </row>
    <row r="744" spans="12:14" ht="14.25" customHeight="1" x14ac:dyDescent="0.25">
      <c r="L744" s="3"/>
      <c r="M744" s="3"/>
      <c r="N744" s="3"/>
    </row>
    <row r="745" spans="12:14" ht="14.25" customHeight="1" x14ac:dyDescent="0.25">
      <c r="L745" s="3"/>
      <c r="M745" s="3"/>
      <c r="N745" s="3"/>
    </row>
    <row r="746" spans="12:14" ht="14.25" customHeight="1" x14ac:dyDescent="0.25">
      <c r="L746" s="3"/>
      <c r="M746" s="3"/>
      <c r="N746" s="3"/>
    </row>
    <row r="747" spans="12:14" ht="14.25" customHeight="1" x14ac:dyDescent="0.25">
      <c r="L747" s="3"/>
      <c r="M747" s="3"/>
      <c r="N747" s="3"/>
    </row>
    <row r="748" spans="12:14" ht="14.25" customHeight="1" x14ac:dyDescent="0.25">
      <c r="L748" s="3"/>
      <c r="M748" s="3"/>
      <c r="N748" s="3"/>
    </row>
    <row r="749" spans="12:14" ht="14.25" customHeight="1" x14ac:dyDescent="0.25">
      <c r="L749" s="3"/>
      <c r="M749" s="3"/>
      <c r="N749" s="3"/>
    </row>
    <row r="750" spans="12:14" ht="14.25" customHeight="1" x14ac:dyDescent="0.25">
      <c r="L750" s="3"/>
      <c r="M750" s="3"/>
      <c r="N750" s="3"/>
    </row>
    <row r="751" spans="12:14" ht="14.25" customHeight="1" x14ac:dyDescent="0.25">
      <c r="L751" s="3"/>
      <c r="M751" s="3"/>
      <c r="N751" s="3"/>
    </row>
    <row r="752" spans="12:14" ht="14.25" customHeight="1" x14ac:dyDescent="0.25">
      <c r="L752" s="3"/>
      <c r="M752" s="3"/>
      <c r="N752" s="3"/>
    </row>
    <row r="753" spans="12:14" ht="14.25" customHeight="1" x14ac:dyDescent="0.25">
      <c r="L753" s="3"/>
      <c r="M753" s="3"/>
      <c r="N753" s="3"/>
    </row>
    <row r="754" spans="12:14" ht="14.25" customHeight="1" x14ac:dyDescent="0.25">
      <c r="L754" s="3"/>
      <c r="M754" s="3"/>
      <c r="N754" s="3"/>
    </row>
    <row r="755" spans="12:14" ht="14.25" customHeight="1" x14ac:dyDescent="0.25">
      <c r="L755" s="3"/>
      <c r="M755" s="3"/>
      <c r="N755" s="3"/>
    </row>
    <row r="756" spans="12:14" ht="14.25" customHeight="1" x14ac:dyDescent="0.25">
      <c r="L756" s="3"/>
      <c r="M756" s="3"/>
      <c r="N756" s="3"/>
    </row>
    <row r="757" spans="12:14" ht="14.25" customHeight="1" x14ac:dyDescent="0.25">
      <c r="L757" s="3"/>
      <c r="M757" s="3"/>
      <c r="N757" s="3"/>
    </row>
    <row r="758" spans="12:14" ht="14.25" customHeight="1" x14ac:dyDescent="0.25">
      <c r="L758" s="3"/>
      <c r="M758" s="3"/>
      <c r="N758" s="3"/>
    </row>
    <row r="759" spans="12:14" ht="14.25" customHeight="1" x14ac:dyDescent="0.25">
      <c r="L759" s="3"/>
      <c r="M759" s="3"/>
      <c r="N759" s="3"/>
    </row>
    <row r="760" spans="12:14" ht="14.25" customHeight="1" x14ac:dyDescent="0.25">
      <c r="L760" s="3"/>
      <c r="M760" s="3"/>
      <c r="N760" s="3"/>
    </row>
    <row r="761" spans="12:14" ht="14.25" customHeight="1" x14ac:dyDescent="0.25">
      <c r="L761" s="3"/>
      <c r="M761" s="3"/>
      <c r="N761" s="3"/>
    </row>
    <row r="762" spans="12:14" ht="14.25" customHeight="1" x14ac:dyDescent="0.25">
      <c r="L762" s="3"/>
      <c r="M762" s="3"/>
      <c r="N762" s="3"/>
    </row>
    <row r="763" spans="12:14" ht="14.25" customHeight="1" x14ac:dyDescent="0.25">
      <c r="L763" s="3"/>
      <c r="M763" s="3"/>
      <c r="N763" s="3"/>
    </row>
    <row r="764" spans="12:14" ht="14.25" customHeight="1" x14ac:dyDescent="0.25">
      <c r="L764" s="3"/>
      <c r="M764" s="3"/>
      <c r="N764" s="3"/>
    </row>
    <row r="765" spans="12:14" ht="14.25" customHeight="1" x14ac:dyDescent="0.25">
      <c r="L765" s="3"/>
      <c r="M765" s="3"/>
      <c r="N765" s="3"/>
    </row>
    <row r="766" spans="12:14" ht="14.25" customHeight="1" x14ac:dyDescent="0.25">
      <c r="L766" s="3"/>
      <c r="M766" s="3"/>
      <c r="N766" s="3"/>
    </row>
    <row r="767" spans="12:14" ht="14.25" customHeight="1" x14ac:dyDescent="0.25">
      <c r="L767" s="3"/>
      <c r="M767" s="3"/>
      <c r="N767" s="3"/>
    </row>
    <row r="768" spans="12:14" ht="14.25" customHeight="1" x14ac:dyDescent="0.25">
      <c r="L768" s="3"/>
      <c r="M768" s="3"/>
      <c r="N768" s="3"/>
    </row>
    <row r="769" spans="12:14" ht="14.25" customHeight="1" x14ac:dyDescent="0.25">
      <c r="L769" s="3"/>
      <c r="M769" s="3"/>
      <c r="N769" s="3"/>
    </row>
    <row r="770" spans="12:14" ht="14.25" customHeight="1" x14ac:dyDescent="0.25">
      <c r="L770" s="3"/>
      <c r="M770" s="3"/>
      <c r="N770" s="3"/>
    </row>
    <row r="771" spans="12:14" ht="14.25" customHeight="1" x14ac:dyDescent="0.25">
      <c r="L771" s="3"/>
      <c r="M771" s="3"/>
      <c r="N771" s="3"/>
    </row>
    <row r="772" spans="12:14" ht="14.25" customHeight="1" x14ac:dyDescent="0.25">
      <c r="L772" s="3"/>
      <c r="M772" s="3"/>
      <c r="N772" s="3"/>
    </row>
    <row r="773" spans="12:14" ht="14.25" customHeight="1" x14ac:dyDescent="0.25">
      <c r="L773" s="3"/>
      <c r="M773" s="3"/>
      <c r="N773" s="3"/>
    </row>
    <row r="774" spans="12:14" ht="14.25" customHeight="1" x14ac:dyDescent="0.25">
      <c r="L774" s="3"/>
      <c r="M774" s="3"/>
      <c r="N774" s="3"/>
    </row>
    <row r="775" spans="12:14" ht="14.25" customHeight="1" x14ac:dyDescent="0.25">
      <c r="L775" s="3"/>
      <c r="M775" s="3"/>
      <c r="N775" s="3"/>
    </row>
    <row r="776" spans="12:14" ht="14.25" customHeight="1" x14ac:dyDescent="0.25">
      <c r="L776" s="3"/>
      <c r="M776" s="3"/>
      <c r="N776" s="3"/>
    </row>
    <row r="777" spans="12:14" ht="14.25" customHeight="1" x14ac:dyDescent="0.25">
      <c r="L777" s="3"/>
      <c r="M777" s="3"/>
      <c r="N777" s="3"/>
    </row>
    <row r="778" spans="12:14" ht="14.25" customHeight="1" x14ac:dyDescent="0.25">
      <c r="L778" s="3"/>
      <c r="M778" s="3"/>
      <c r="N778" s="3"/>
    </row>
    <row r="779" spans="12:14" ht="14.25" customHeight="1" x14ac:dyDescent="0.25">
      <c r="L779" s="3"/>
      <c r="M779" s="3"/>
      <c r="N779" s="3"/>
    </row>
    <row r="780" spans="12:14" ht="14.25" customHeight="1" x14ac:dyDescent="0.25">
      <c r="L780" s="3"/>
      <c r="M780" s="3"/>
      <c r="N780" s="3"/>
    </row>
    <row r="781" spans="12:14" ht="14.25" customHeight="1" x14ac:dyDescent="0.25">
      <c r="L781" s="3"/>
      <c r="M781" s="3"/>
      <c r="N781" s="3"/>
    </row>
    <row r="782" spans="12:14" ht="14.25" customHeight="1" x14ac:dyDescent="0.25">
      <c r="L782" s="3"/>
      <c r="M782" s="3"/>
      <c r="N782" s="3"/>
    </row>
    <row r="783" spans="12:14" ht="14.25" customHeight="1" x14ac:dyDescent="0.25">
      <c r="L783" s="3"/>
      <c r="M783" s="3"/>
      <c r="N783" s="3"/>
    </row>
    <row r="784" spans="12:14" ht="14.25" customHeight="1" x14ac:dyDescent="0.25">
      <c r="L784" s="3"/>
      <c r="M784" s="3"/>
      <c r="N784" s="3"/>
    </row>
    <row r="785" spans="12:14" ht="14.25" customHeight="1" x14ac:dyDescent="0.25">
      <c r="L785" s="3"/>
      <c r="M785" s="3"/>
      <c r="N785" s="3"/>
    </row>
    <row r="786" spans="12:14" ht="14.25" customHeight="1" x14ac:dyDescent="0.25">
      <c r="L786" s="3"/>
      <c r="M786" s="3"/>
      <c r="N786" s="3"/>
    </row>
    <row r="787" spans="12:14" ht="14.25" customHeight="1" x14ac:dyDescent="0.25">
      <c r="L787" s="3"/>
      <c r="M787" s="3"/>
      <c r="N787" s="3"/>
    </row>
    <row r="788" spans="12:14" ht="14.25" customHeight="1" x14ac:dyDescent="0.25">
      <c r="L788" s="3"/>
      <c r="M788" s="3"/>
      <c r="N788" s="3"/>
    </row>
    <row r="789" spans="12:14" ht="14.25" customHeight="1" x14ac:dyDescent="0.25">
      <c r="L789" s="3"/>
      <c r="M789" s="3"/>
      <c r="N789" s="3"/>
    </row>
    <row r="790" spans="12:14" ht="14.25" customHeight="1" x14ac:dyDescent="0.25">
      <c r="L790" s="3"/>
      <c r="M790" s="3"/>
      <c r="N790" s="3"/>
    </row>
    <row r="791" spans="12:14" ht="14.25" customHeight="1" x14ac:dyDescent="0.25">
      <c r="L791" s="3"/>
      <c r="M791" s="3"/>
      <c r="N791" s="3"/>
    </row>
    <row r="792" spans="12:14" ht="14.25" customHeight="1" x14ac:dyDescent="0.25">
      <c r="L792" s="3"/>
      <c r="M792" s="3"/>
      <c r="N792" s="3"/>
    </row>
    <row r="793" spans="12:14" ht="14.25" customHeight="1" x14ac:dyDescent="0.25">
      <c r="L793" s="3"/>
      <c r="M793" s="3"/>
      <c r="N793" s="3"/>
    </row>
    <row r="794" spans="12:14" ht="14.25" customHeight="1" x14ac:dyDescent="0.25">
      <c r="L794" s="3"/>
      <c r="M794" s="3"/>
      <c r="N794" s="3"/>
    </row>
    <row r="795" spans="12:14" ht="14.25" customHeight="1" x14ac:dyDescent="0.25">
      <c r="L795" s="3"/>
      <c r="M795" s="3"/>
      <c r="N795" s="3"/>
    </row>
    <row r="796" spans="12:14" ht="14.25" customHeight="1" x14ac:dyDescent="0.25">
      <c r="L796" s="3"/>
      <c r="M796" s="3"/>
      <c r="N796" s="3"/>
    </row>
    <row r="797" spans="12:14" ht="14.25" customHeight="1" x14ac:dyDescent="0.25">
      <c r="L797" s="3"/>
      <c r="M797" s="3"/>
      <c r="N797" s="3"/>
    </row>
    <row r="798" spans="12:14" ht="14.25" customHeight="1" x14ac:dyDescent="0.25">
      <c r="L798" s="3"/>
      <c r="M798" s="3"/>
      <c r="N798" s="3"/>
    </row>
    <row r="799" spans="12:14" ht="14.25" customHeight="1" x14ac:dyDescent="0.25">
      <c r="L799" s="3"/>
      <c r="M799" s="3"/>
      <c r="N799" s="3"/>
    </row>
    <row r="800" spans="12:14" ht="14.25" customHeight="1" x14ac:dyDescent="0.25">
      <c r="L800" s="3"/>
      <c r="M800" s="3"/>
      <c r="N800" s="3"/>
    </row>
    <row r="801" spans="12:14" ht="14.25" customHeight="1" x14ac:dyDescent="0.25">
      <c r="L801" s="3"/>
      <c r="M801" s="3"/>
      <c r="N801" s="3"/>
    </row>
    <row r="802" spans="12:14" ht="14.25" customHeight="1" x14ac:dyDescent="0.25">
      <c r="L802" s="3"/>
      <c r="M802" s="3"/>
      <c r="N802" s="3"/>
    </row>
    <row r="803" spans="12:14" ht="14.25" customHeight="1" x14ac:dyDescent="0.25">
      <c r="L803" s="3"/>
      <c r="M803" s="3"/>
      <c r="N803" s="3"/>
    </row>
    <row r="804" spans="12:14" ht="14.25" customHeight="1" x14ac:dyDescent="0.25">
      <c r="L804" s="3"/>
      <c r="M804" s="3"/>
      <c r="N804" s="3"/>
    </row>
    <row r="805" spans="12:14" ht="14.25" customHeight="1" x14ac:dyDescent="0.25">
      <c r="L805" s="3"/>
      <c r="M805" s="3"/>
      <c r="N805" s="3"/>
    </row>
    <row r="806" spans="12:14" ht="14.25" customHeight="1" x14ac:dyDescent="0.25">
      <c r="L806" s="3"/>
      <c r="M806" s="3"/>
      <c r="N806" s="3"/>
    </row>
    <row r="807" spans="12:14" ht="14.25" customHeight="1" x14ac:dyDescent="0.25">
      <c r="L807" s="3"/>
      <c r="M807" s="3"/>
      <c r="N807" s="3"/>
    </row>
    <row r="808" spans="12:14" ht="14.25" customHeight="1" x14ac:dyDescent="0.25">
      <c r="L808" s="3"/>
      <c r="M808" s="3"/>
      <c r="N808" s="3"/>
    </row>
    <row r="809" spans="12:14" ht="14.25" customHeight="1" x14ac:dyDescent="0.25">
      <c r="L809" s="3"/>
      <c r="M809" s="3"/>
      <c r="N809" s="3"/>
    </row>
    <row r="810" spans="12:14" ht="14.25" customHeight="1" x14ac:dyDescent="0.25">
      <c r="L810" s="3"/>
      <c r="M810" s="3"/>
      <c r="N810" s="3"/>
    </row>
    <row r="811" spans="12:14" ht="14.25" customHeight="1" x14ac:dyDescent="0.25">
      <c r="L811" s="3"/>
      <c r="M811" s="3"/>
      <c r="N811" s="3"/>
    </row>
    <row r="812" spans="12:14" ht="14.25" customHeight="1" x14ac:dyDescent="0.25">
      <c r="L812" s="3"/>
      <c r="M812" s="3"/>
      <c r="N812" s="3"/>
    </row>
    <row r="813" spans="12:14" ht="14.25" customHeight="1" x14ac:dyDescent="0.25">
      <c r="L813" s="3"/>
      <c r="M813" s="3"/>
      <c r="N813" s="3"/>
    </row>
    <row r="814" spans="12:14" ht="14.25" customHeight="1" x14ac:dyDescent="0.25">
      <c r="L814" s="3"/>
      <c r="M814" s="3"/>
      <c r="N814" s="3"/>
    </row>
    <row r="815" spans="12:14" ht="14.25" customHeight="1" x14ac:dyDescent="0.25">
      <c r="L815" s="3"/>
      <c r="M815" s="3"/>
      <c r="N815" s="3"/>
    </row>
    <row r="816" spans="12:14" ht="14.25" customHeight="1" x14ac:dyDescent="0.25">
      <c r="L816" s="3"/>
      <c r="M816" s="3"/>
      <c r="N816" s="3"/>
    </row>
    <row r="817" spans="12:14" ht="14.25" customHeight="1" x14ac:dyDescent="0.25">
      <c r="L817" s="3"/>
      <c r="M817" s="3"/>
      <c r="N817" s="3"/>
    </row>
    <row r="818" spans="12:14" ht="14.25" customHeight="1" x14ac:dyDescent="0.25">
      <c r="L818" s="3"/>
      <c r="M818" s="3"/>
      <c r="N818" s="3"/>
    </row>
    <row r="819" spans="12:14" ht="14.25" customHeight="1" x14ac:dyDescent="0.25">
      <c r="L819" s="3"/>
      <c r="M819" s="3"/>
      <c r="N819" s="3"/>
    </row>
    <row r="820" spans="12:14" ht="14.25" customHeight="1" x14ac:dyDescent="0.25">
      <c r="L820" s="3"/>
      <c r="M820" s="3"/>
      <c r="N820" s="3"/>
    </row>
    <row r="821" spans="12:14" ht="14.25" customHeight="1" x14ac:dyDescent="0.25">
      <c r="L821" s="3"/>
      <c r="M821" s="3"/>
      <c r="N821" s="3"/>
    </row>
    <row r="822" spans="12:14" ht="14.25" customHeight="1" x14ac:dyDescent="0.25">
      <c r="L822" s="3"/>
      <c r="M822" s="3"/>
      <c r="N822" s="3"/>
    </row>
    <row r="823" spans="12:14" ht="14.25" customHeight="1" x14ac:dyDescent="0.25">
      <c r="L823" s="3"/>
      <c r="M823" s="3"/>
      <c r="N823" s="3"/>
    </row>
    <row r="824" spans="12:14" ht="14.25" customHeight="1" x14ac:dyDescent="0.25">
      <c r="L824" s="3"/>
      <c r="M824" s="3"/>
      <c r="N824" s="3"/>
    </row>
    <row r="825" spans="12:14" ht="14.25" customHeight="1" x14ac:dyDescent="0.25">
      <c r="L825" s="3"/>
      <c r="M825" s="3"/>
      <c r="N825" s="3"/>
    </row>
    <row r="826" spans="12:14" ht="14.25" customHeight="1" x14ac:dyDescent="0.25">
      <c r="L826" s="3"/>
      <c r="M826" s="3"/>
      <c r="N826" s="3"/>
    </row>
    <row r="827" spans="12:14" ht="14.25" customHeight="1" x14ac:dyDescent="0.25">
      <c r="L827" s="3"/>
      <c r="M827" s="3"/>
      <c r="N827" s="3"/>
    </row>
    <row r="828" spans="12:14" ht="14.25" customHeight="1" x14ac:dyDescent="0.25">
      <c r="L828" s="3"/>
      <c r="M828" s="3"/>
      <c r="N828" s="3"/>
    </row>
    <row r="829" spans="12:14" ht="14.25" customHeight="1" x14ac:dyDescent="0.25">
      <c r="L829" s="3"/>
      <c r="M829" s="3"/>
      <c r="N829" s="3"/>
    </row>
    <row r="830" spans="12:14" ht="14.25" customHeight="1" x14ac:dyDescent="0.25">
      <c r="L830" s="3"/>
      <c r="M830" s="3"/>
      <c r="N830" s="3"/>
    </row>
    <row r="831" spans="12:14" ht="14.25" customHeight="1" x14ac:dyDescent="0.25">
      <c r="L831" s="3"/>
      <c r="M831" s="3"/>
      <c r="N831" s="3"/>
    </row>
    <row r="832" spans="12:14" ht="14.25" customHeight="1" x14ac:dyDescent="0.25">
      <c r="L832" s="3"/>
      <c r="M832" s="3"/>
      <c r="N832" s="3"/>
    </row>
    <row r="833" spans="12:14" ht="14.25" customHeight="1" x14ac:dyDescent="0.25">
      <c r="L833" s="3"/>
      <c r="M833" s="3"/>
      <c r="N833" s="3"/>
    </row>
    <row r="834" spans="12:14" ht="14.25" customHeight="1" x14ac:dyDescent="0.25">
      <c r="L834" s="3"/>
      <c r="M834" s="3"/>
      <c r="N834" s="3"/>
    </row>
    <row r="835" spans="12:14" ht="14.25" customHeight="1" x14ac:dyDescent="0.25">
      <c r="L835" s="3"/>
      <c r="M835" s="3"/>
      <c r="N835" s="3"/>
    </row>
    <row r="836" spans="12:14" ht="14.25" customHeight="1" x14ac:dyDescent="0.25">
      <c r="L836" s="3"/>
      <c r="M836" s="3"/>
      <c r="N836" s="3"/>
    </row>
    <row r="837" spans="12:14" ht="14.25" customHeight="1" x14ac:dyDescent="0.25">
      <c r="L837" s="3"/>
      <c r="M837" s="3"/>
      <c r="N837" s="3"/>
    </row>
    <row r="838" spans="12:14" ht="14.25" customHeight="1" x14ac:dyDescent="0.25">
      <c r="L838" s="3"/>
      <c r="M838" s="3"/>
      <c r="N838" s="3"/>
    </row>
    <row r="839" spans="12:14" ht="14.25" customHeight="1" x14ac:dyDescent="0.25">
      <c r="L839" s="3"/>
      <c r="M839" s="3"/>
      <c r="N839" s="3"/>
    </row>
    <row r="840" spans="12:14" ht="14.25" customHeight="1" x14ac:dyDescent="0.25">
      <c r="L840" s="3"/>
      <c r="M840" s="3"/>
      <c r="N840" s="3"/>
    </row>
    <row r="841" spans="12:14" ht="14.25" customHeight="1" x14ac:dyDescent="0.25">
      <c r="L841" s="3"/>
      <c r="M841" s="3"/>
      <c r="N841" s="3"/>
    </row>
    <row r="842" spans="12:14" ht="14.25" customHeight="1" x14ac:dyDescent="0.25">
      <c r="L842" s="3"/>
      <c r="M842" s="3"/>
      <c r="N842" s="3"/>
    </row>
    <row r="843" spans="12:14" ht="14.25" customHeight="1" x14ac:dyDescent="0.25">
      <c r="L843" s="3"/>
      <c r="M843" s="3"/>
      <c r="N843" s="3"/>
    </row>
    <row r="844" spans="12:14" ht="14.25" customHeight="1" x14ac:dyDescent="0.25">
      <c r="L844" s="3"/>
      <c r="M844" s="3"/>
      <c r="N844" s="3"/>
    </row>
    <row r="845" spans="12:14" ht="14.25" customHeight="1" x14ac:dyDescent="0.25">
      <c r="L845" s="3"/>
      <c r="M845" s="3"/>
      <c r="N845" s="3"/>
    </row>
    <row r="846" spans="12:14" ht="14.25" customHeight="1" x14ac:dyDescent="0.25">
      <c r="L846" s="3"/>
      <c r="M846" s="3"/>
      <c r="N846" s="3"/>
    </row>
    <row r="847" spans="12:14" ht="14.25" customHeight="1" x14ac:dyDescent="0.25">
      <c r="L847" s="3"/>
      <c r="M847" s="3"/>
      <c r="N847" s="3"/>
    </row>
    <row r="848" spans="12:14" ht="14.25" customHeight="1" x14ac:dyDescent="0.25">
      <c r="L848" s="3"/>
      <c r="M848" s="3"/>
      <c r="N848" s="3"/>
    </row>
    <row r="849" spans="12:14" ht="14.25" customHeight="1" x14ac:dyDescent="0.25">
      <c r="L849" s="3"/>
      <c r="M849" s="3"/>
      <c r="N849" s="3"/>
    </row>
    <row r="850" spans="12:14" ht="14.25" customHeight="1" x14ac:dyDescent="0.25">
      <c r="L850" s="3"/>
      <c r="M850" s="3"/>
      <c r="N850" s="3"/>
    </row>
    <row r="851" spans="12:14" ht="14.25" customHeight="1" x14ac:dyDescent="0.25">
      <c r="L851" s="3"/>
      <c r="M851" s="3"/>
      <c r="N851" s="3"/>
    </row>
    <row r="852" spans="12:14" ht="14.25" customHeight="1" x14ac:dyDescent="0.25">
      <c r="L852" s="3"/>
      <c r="M852" s="3"/>
      <c r="N852" s="3"/>
    </row>
    <row r="853" spans="12:14" ht="14.25" customHeight="1" x14ac:dyDescent="0.25">
      <c r="L853" s="3"/>
      <c r="M853" s="3"/>
      <c r="N853" s="3"/>
    </row>
    <row r="854" spans="12:14" ht="14.25" customHeight="1" x14ac:dyDescent="0.25">
      <c r="L854" s="3"/>
      <c r="M854" s="3"/>
      <c r="N854" s="3"/>
    </row>
    <row r="855" spans="12:14" ht="14.25" customHeight="1" x14ac:dyDescent="0.25">
      <c r="L855" s="3"/>
      <c r="M855" s="3"/>
      <c r="N855" s="3"/>
    </row>
    <row r="856" spans="12:14" ht="14.25" customHeight="1" x14ac:dyDescent="0.25">
      <c r="L856" s="3"/>
      <c r="M856" s="3"/>
      <c r="N856" s="3"/>
    </row>
    <row r="857" spans="12:14" ht="14.25" customHeight="1" x14ac:dyDescent="0.25">
      <c r="L857" s="3"/>
      <c r="M857" s="3"/>
      <c r="N857" s="3"/>
    </row>
    <row r="858" spans="12:14" ht="14.25" customHeight="1" x14ac:dyDescent="0.25">
      <c r="L858" s="3"/>
      <c r="M858" s="3"/>
      <c r="N858" s="3"/>
    </row>
    <row r="859" spans="12:14" ht="14.25" customHeight="1" x14ac:dyDescent="0.25">
      <c r="L859" s="3"/>
      <c r="M859" s="3"/>
      <c r="N859" s="3"/>
    </row>
    <row r="860" spans="12:14" ht="14.25" customHeight="1" x14ac:dyDescent="0.25">
      <c r="L860" s="3"/>
      <c r="M860" s="3"/>
      <c r="N860" s="3"/>
    </row>
    <row r="861" spans="12:14" ht="14.25" customHeight="1" x14ac:dyDescent="0.25">
      <c r="L861" s="3"/>
      <c r="M861" s="3"/>
      <c r="N861" s="3"/>
    </row>
    <row r="862" spans="12:14" ht="14.25" customHeight="1" x14ac:dyDescent="0.25">
      <c r="L862" s="3"/>
      <c r="M862" s="3"/>
      <c r="N862" s="3"/>
    </row>
    <row r="863" spans="12:14" ht="14.25" customHeight="1" x14ac:dyDescent="0.25">
      <c r="L863" s="3"/>
      <c r="M863" s="3"/>
      <c r="N863" s="3"/>
    </row>
    <row r="864" spans="12:14" ht="14.25" customHeight="1" x14ac:dyDescent="0.25">
      <c r="L864" s="3"/>
      <c r="M864" s="3"/>
      <c r="N864" s="3"/>
    </row>
    <row r="865" spans="12:14" ht="14.25" customHeight="1" x14ac:dyDescent="0.25">
      <c r="L865" s="3"/>
      <c r="M865" s="3"/>
      <c r="N865" s="3"/>
    </row>
    <row r="866" spans="12:14" ht="14.25" customHeight="1" x14ac:dyDescent="0.25">
      <c r="L866" s="3"/>
      <c r="M866" s="3"/>
      <c r="N866" s="3"/>
    </row>
    <row r="867" spans="12:14" ht="14.25" customHeight="1" x14ac:dyDescent="0.25">
      <c r="L867" s="3"/>
      <c r="M867" s="3"/>
      <c r="N867" s="3"/>
    </row>
    <row r="868" spans="12:14" ht="14.25" customHeight="1" x14ac:dyDescent="0.25">
      <c r="L868" s="3"/>
      <c r="M868" s="3"/>
      <c r="N868" s="3"/>
    </row>
    <row r="869" spans="12:14" ht="14.25" customHeight="1" x14ac:dyDescent="0.25">
      <c r="L869" s="3"/>
      <c r="M869" s="3"/>
      <c r="N869" s="3"/>
    </row>
    <row r="870" spans="12:14" ht="14.25" customHeight="1" x14ac:dyDescent="0.25">
      <c r="L870" s="3"/>
      <c r="M870" s="3"/>
      <c r="N870" s="3"/>
    </row>
    <row r="871" spans="12:14" ht="14.25" customHeight="1" x14ac:dyDescent="0.25">
      <c r="L871" s="3"/>
      <c r="M871" s="3"/>
      <c r="N871" s="3"/>
    </row>
    <row r="872" spans="12:14" ht="14.25" customHeight="1" x14ac:dyDescent="0.25">
      <c r="L872" s="3"/>
      <c r="M872" s="3"/>
      <c r="N872" s="3"/>
    </row>
    <row r="873" spans="12:14" ht="14.25" customHeight="1" x14ac:dyDescent="0.25">
      <c r="L873" s="3"/>
      <c r="M873" s="3"/>
      <c r="N873" s="3"/>
    </row>
    <row r="874" spans="12:14" ht="14.25" customHeight="1" x14ac:dyDescent="0.25">
      <c r="L874" s="3"/>
      <c r="M874" s="3"/>
      <c r="N874" s="3"/>
    </row>
    <row r="875" spans="12:14" ht="14.25" customHeight="1" x14ac:dyDescent="0.25">
      <c r="L875" s="3"/>
      <c r="M875" s="3"/>
      <c r="N875" s="3"/>
    </row>
    <row r="876" spans="12:14" ht="14.25" customHeight="1" x14ac:dyDescent="0.25">
      <c r="L876" s="3"/>
      <c r="M876" s="3"/>
      <c r="N876" s="3"/>
    </row>
    <row r="877" spans="12:14" ht="14.25" customHeight="1" x14ac:dyDescent="0.25">
      <c r="L877" s="3"/>
      <c r="M877" s="3"/>
      <c r="N877" s="3"/>
    </row>
    <row r="878" spans="12:14" ht="14.25" customHeight="1" x14ac:dyDescent="0.25">
      <c r="L878" s="3"/>
      <c r="M878" s="3"/>
      <c r="N878" s="3"/>
    </row>
    <row r="879" spans="12:14" ht="14.25" customHeight="1" x14ac:dyDescent="0.25">
      <c r="L879" s="3"/>
      <c r="M879" s="3"/>
      <c r="N879" s="3"/>
    </row>
    <row r="880" spans="12:14" ht="14.25" customHeight="1" x14ac:dyDescent="0.25">
      <c r="L880" s="3"/>
      <c r="M880" s="3"/>
      <c r="N880" s="3"/>
    </row>
    <row r="881" spans="12:14" ht="14.25" customHeight="1" x14ac:dyDescent="0.25">
      <c r="L881" s="3"/>
      <c r="M881" s="3"/>
      <c r="N881" s="3"/>
    </row>
    <row r="882" spans="12:14" ht="14.25" customHeight="1" x14ac:dyDescent="0.25">
      <c r="L882" s="3"/>
      <c r="M882" s="3"/>
      <c r="N882" s="3"/>
    </row>
    <row r="883" spans="12:14" ht="14.25" customHeight="1" x14ac:dyDescent="0.25">
      <c r="L883" s="3"/>
      <c r="M883" s="3"/>
      <c r="N883" s="3"/>
    </row>
    <row r="884" spans="12:14" ht="14.25" customHeight="1" x14ac:dyDescent="0.25">
      <c r="L884" s="3"/>
      <c r="M884" s="3"/>
      <c r="N884" s="3"/>
    </row>
    <row r="885" spans="12:14" ht="14.25" customHeight="1" x14ac:dyDescent="0.25">
      <c r="L885" s="3"/>
      <c r="M885" s="3"/>
      <c r="N885" s="3"/>
    </row>
    <row r="886" spans="12:14" ht="14.25" customHeight="1" x14ac:dyDescent="0.25">
      <c r="L886" s="3"/>
      <c r="M886" s="3"/>
      <c r="N886" s="3"/>
    </row>
    <row r="887" spans="12:14" ht="14.25" customHeight="1" x14ac:dyDescent="0.25">
      <c r="L887" s="3"/>
      <c r="M887" s="3"/>
      <c r="N887" s="3"/>
    </row>
    <row r="888" spans="12:14" ht="14.25" customHeight="1" x14ac:dyDescent="0.25">
      <c r="L888" s="3"/>
      <c r="M888" s="3"/>
      <c r="N888" s="3"/>
    </row>
    <row r="889" spans="12:14" ht="14.25" customHeight="1" x14ac:dyDescent="0.25">
      <c r="L889" s="3"/>
      <c r="M889" s="3"/>
      <c r="N889" s="3"/>
    </row>
    <row r="890" spans="12:14" ht="14.25" customHeight="1" x14ac:dyDescent="0.25">
      <c r="L890" s="3"/>
      <c r="M890" s="3"/>
      <c r="N890" s="3"/>
    </row>
    <row r="891" spans="12:14" ht="14.25" customHeight="1" x14ac:dyDescent="0.25">
      <c r="L891" s="3"/>
      <c r="M891" s="3"/>
      <c r="N891" s="3"/>
    </row>
    <row r="892" spans="12:14" ht="14.25" customHeight="1" x14ac:dyDescent="0.25">
      <c r="L892" s="3"/>
      <c r="M892" s="3"/>
      <c r="N892" s="3"/>
    </row>
    <row r="893" spans="12:14" ht="14.25" customHeight="1" x14ac:dyDescent="0.25">
      <c r="L893" s="3"/>
      <c r="M893" s="3"/>
      <c r="N893" s="3"/>
    </row>
    <row r="894" spans="12:14" ht="14.25" customHeight="1" x14ac:dyDescent="0.25">
      <c r="L894" s="3"/>
      <c r="M894" s="3"/>
      <c r="N894" s="3"/>
    </row>
    <row r="895" spans="12:14" ht="14.25" customHeight="1" x14ac:dyDescent="0.25">
      <c r="L895" s="3"/>
      <c r="M895" s="3"/>
      <c r="N895" s="3"/>
    </row>
    <row r="896" spans="12:14" ht="14.25" customHeight="1" x14ac:dyDescent="0.25">
      <c r="L896" s="3"/>
      <c r="M896" s="3"/>
      <c r="N896" s="3"/>
    </row>
    <row r="897" spans="12:14" ht="14.25" customHeight="1" x14ac:dyDescent="0.25">
      <c r="L897" s="3"/>
      <c r="M897" s="3"/>
      <c r="N897" s="3"/>
    </row>
    <row r="898" spans="12:14" ht="14.25" customHeight="1" x14ac:dyDescent="0.25">
      <c r="L898" s="3"/>
      <c r="M898" s="3"/>
      <c r="N898" s="3"/>
    </row>
    <row r="899" spans="12:14" ht="14.25" customHeight="1" x14ac:dyDescent="0.25">
      <c r="L899" s="3"/>
      <c r="M899" s="3"/>
      <c r="N899" s="3"/>
    </row>
    <row r="900" spans="12:14" ht="14.25" customHeight="1" x14ac:dyDescent="0.25">
      <c r="L900" s="3"/>
      <c r="M900" s="3"/>
      <c r="N900" s="3"/>
    </row>
    <row r="901" spans="12:14" ht="14.25" customHeight="1" x14ac:dyDescent="0.25">
      <c r="L901" s="3"/>
      <c r="M901" s="3"/>
      <c r="N901" s="3"/>
    </row>
    <row r="902" spans="12:14" ht="14.25" customHeight="1" x14ac:dyDescent="0.25">
      <c r="L902" s="3"/>
      <c r="M902" s="3"/>
      <c r="N902" s="3"/>
    </row>
    <row r="903" spans="12:14" ht="14.25" customHeight="1" x14ac:dyDescent="0.25">
      <c r="L903" s="3"/>
      <c r="M903" s="3"/>
      <c r="N903" s="3"/>
    </row>
    <row r="904" spans="12:14" ht="14.25" customHeight="1" x14ac:dyDescent="0.25">
      <c r="L904" s="3"/>
      <c r="M904" s="3"/>
      <c r="N904" s="3"/>
    </row>
    <row r="905" spans="12:14" ht="14.25" customHeight="1" x14ac:dyDescent="0.25">
      <c r="L905" s="3"/>
      <c r="M905" s="3"/>
      <c r="N905" s="3"/>
    </row>
    <row r="906" spans="12:14" ht="14.25" customHeight="1" x14ac:dyDescent="0.25">
      <c r="L906" s="3"/>
      <c r="M906" s="3"/>
      <c r="N906" s="3"/>
    </row>
    <row r="907" spans="12:14" ht="14.25" customHeight="1" x14ac:dyDescent="0.25">
      <c r="L907" s="3"/>
      <c r="M907" s="3"/>
      <c r="N907" s="3"/>
    </row>
    <row r="908" spans="12:14" ht="14.25" customHeight="1" x14ac:dyDescent="0.25">
      <c r="L908" s="3"/>
      <c r="M908" s="3"/>
      <c r="N908" s="3"/>
    </row>
    <row r="909" spans="12:14" ht="14.25" customHeight="1" x14ac:dyDescent="0.25">
      <c r="L909" s="3"/>
      <c r="M909" s="3"/>
      <c r="N909" s="3"/>
    </row>
    <row r="910" spans="12:14" ht="14.25" customHeight="1" x14ac:dyDescent="0.25">
      <c r="L910" s="3"/>
      <c r="M910" s="3"/>
      <c r="N910" s="3"/>
    </row>
    <row r="911" spans="12:14" ht="14.25" customHeight="1" x14ac:dyDescent="0.25">
      <c r="L911" s="3"/>
      <c r="M911" s="3"/>
      <c r="N911" s="3"/>
    </row>
    <row r="912" spans="12:14" ht="14.25" customHeight="1" x14ac:dyDescent="0.25">
      <c r="L912" s="3"/>
      <c r="M912" s="3"/>
      <c r="N912" s="3"/>
    </row>
    <row r="913" spans="12:14" ht="14.25" customHeight="1" x14ac:dyDescent="0.25">
      <c r="L913" s="3"/>
      <c r="M913" s="3"/>
      <c r="N913" s="3"/>
    </row>
    <row r="914" spans="12:14" ht="14.25" customHeight="1" x14ac:dyDescent="0.25">
      <c r="L914" s="3"/>
      <c r="M914" s="3"/>
      <c r="N914" s="3"/>
    </row>
    <row r="915" spans="12:14" ht="14.25" customHeight="1" x14ac:dyDescent="0.25">
      <c r="L915" s="3"/>
      <c r="M915" s="3"/>
      <c r="N915" s="3"/>
    </row>
    <row r="916" spans="12:14" ht="14.25" customHeight="1" x14ac:dyDescent="0.25">
      <c r="L916" s="3"/>
      <c r="M916" s="3"/>
      <c r="N916" s="3"/>
    </row>
    <row r="917" spans="12:14" ht="14.25" customHeight="1" x14ac:dyDescent="0.25">
      <c r="L917" s="3"/>
      <c r="M917" s="3"/>
      <c r="N917" s="3"/>
    </row>
    <row r="918" spans="12:14" ht="14.25" customHeight="1" x14ac:dyDescent="0.25">
      <c r="L918" s="3"/>
      <c r="M918" s="3"/>
      <c r="N918" s="3"/>
    </row>
    <row r="919" spans="12:14" ht="14.25" customHeight="1" x14ac:dyDescent="0.25">
      <c r="L919" s="3"/>
      <c r="M919" s="3"/>
      <c r="N919" s="3"/>
    </row>
    <row r="920" spans="12:14" ht="14.25" customHeight="1" x14ac:dyDescent="0.25">
      <c r="L920" s="3"/>
      <c r="M920" s="3"/>
      <c r="N920" s="3"/>
    </row>
    <row r="921" spans="12:14" ht="14.25" customHeight="1" x14ac:dyDescent="0.25">
      <c r="L921" s="3"/>
      <c r="M921" s="3"/>
      <c r="N921" s="3"/>
    </row>
    <row r="922" spans="12:14" ht="14.25" customHeight="1" x14ac:dyDescent="0.25">
      <c r="L922" s="3"/>
      <c r="M922" s="3"/>
      <c r="N922" s="3"/>
    </row>
    <row r="923" spans="12:14" ht="14.25" customHeight="1" x14ac:dyDescent="0.25">
      <c r="L923" s="3"/>
      <c r="M923" s="3"/>
      <c r="N923" s="3"/>
    </row>
    <row r="924" spans="12:14" ht="14.25" customHeight="1" x14ac:dyDescent="0.25">
      <c r="L924" s="3"/>
      <c r="M924" s="3"/>
      <c r="N924" s="3"/>
    </row>
    <row r="925" spans="12:14" ht="14.25" customHeight="1" x14ac:dyDescent="0.25">
      <c r="L925" s="3"/>
      <c r="M925" s="3"/>
      <c r="N925" s="3"/>
    </row>
    <row r="926" spans="12:14" ht="14.25" customHeight="1" x14ac:dyDescent="0.25">
      <c r="L926" s="3"/>
      <c r="M926" s="3"/>
      <c r="N926" s="3"/>
    </row>
    <row r="927" spans="12:14" ht="14.25" customHeight="1" x14ac:dyDescent="0.25">
      <c r="L927" s="3"/>
      <c r="M927" s="3"/>
      <c r="N927" s="3"/>
    </row>
    <row r="928" spans="12:14" ht="14.25" customHeight="1" x14ac:dyDescent="0.25">
      <c r="L928" s="3"/>
      <c r="M928" s="3"/>
      <c r="N928" s="3"/>
    </row>
    <row r="929" spans="12:14" ht="14.25" customHeight="1" x14ac:dyDescent="0.25">
      <c r="L929" s="3"/>
      <c r="M929" s="3"/>
      <c r="N929" s="3"/>
    </row>
    <row r="930" spans="12:14" ht="14.25" customHeight="1" x14ac:dyDescent="0.25">
      <c r="L930" s="3"/>
      <c r="M930" s="3"/>
      <c r="N930" s="3"/>
    </row>
    <row r="931" spans="12:14" ht="14.25" customHeight="1" x14ac:dyDescent="0.25">
      <c r="L931" s="3"/>
      <c r="M931" s="3"/>
      <c r="N931" s="3"/>
    </row>
    <row r="932" spans="12:14" ht="14.25" customHeight="1" x14ac:dyDescent="0.25">
      <c r="L932" s="3"/>
      <c r="M932" s="3"/>
      <c r="N932" s="3"/>
    </row>
    <row r="933" spans="12:14" ht="14.25" customHeight="1" x14ac:dyDescent="0.25">
      <c r="L933" s="3"/>
      <c r="M933" s="3"/>
      <c r="N933" s="3"/>
    </row>
    <row r="934" spans="12:14" ht="14.25" customHeight="1" x14ac:dyDescent="0.25">
      <c r="L934" s="3"/>
      <c r="M934" s="3"/>
      <c r="N934" s="3"/>
    </row>
    <row r="935" spans="12:14" ht="14.25" customHeight="1" x14ac:dyDescent="0.25">
      <c r="L935" s="3"/>
      <c r="M935" s="3"/>
      <c r="N935" s="3"/>
    </row>
    <row r="936" spans="12:14" ht="14.25" customHeight="1" x14ac:dyDescent="0.25">
      <c r="L936" s="3"/>
      <c r="M936" s="3"/>
      <c r="N936" s="3"/>
    </row>
    <row r="937" spans="12:14" ht="14.25" customHeight="1" x14ac:dyDescent="0.25">
      <c r="L937" s="3"/>
      <c r="M937" s="3"/>
      <c r="N937" s="3"/>
    </row>
    <row r="938" spans="12:14" ht="14.25" customHeight="1" x14ac:dyDescent="0.25">
      <c r="L938" s="3"/>
      <c r="M938" s="3"/>
      <c r="N938" s="3"/>
    </row>
    <row r="939" spans="12:14" ht="14.25" customHeight="1" x14ac:dyDescent="0.25">
      <c r="L939" s="3"/>
      <c r="M939" s="3"/>
      <c r="N939" s="3"/>
    </row>
    <row r="940" spans="12:14" ht="14.25" customHeight="1" x14ac:dyDescent="0.25">
      <c r="L940" s="3"/>
      <c r="M940" s="3"/>
      <c r="N940" s="3"/>
    </row>
    <row r="941" spans="12:14" ht="14.25" customHeight="1" x14ac:dyDescent="0.25">
      <c r="L941" s="3"/>
      <c r="M941" s="3"/>
      <c r="N941" s="3"/>
    </row>
    <row r="942" spans="12:14" ht="14.25" customHeight="1" x14ac:dyDescent="0.25">
      <c r="L942" s="3"/>
      <c r="M942" s="3"/>
      <c r="N942" s="3"/>
    </row>
    <row r="943" spans="12:14" ht="14.25" customHeight="1" x14ac:dyDescent="0.25">
      <c r="L943" s="3"/>
      <c r="M943" s="3"/>
      <c r="N943" s="3"/>
    </row>
    <row r="944" spans="12:14" ht="14.25" customHeight="1" x14ac:dyDescent="0.25">
      <c r="L944" s="3"/>
      <c r="M944" s="3"/>
      <c r="N944" s="3"/>
    </row>
    <row r="945" spans="12:14" ht="14.25" customHeight="1" x14ac:dyDescent="0.25">
      <c r="L945" s="3"/>
      <c r="M945" s="3"/>
      <c r="N945" s="3"/>
    </row>
    <row r="946" spans="12:14" ht="14.25" customHeight="1" x14ac:dyDescent="0.25">
      <c r="L946" s="3"/>
      <c r="M946" s="3"/>
      <c r="N946" s="3"/>
    </row>
    <row r="947" spans="12:14" ht="14.25" customHeight="1" x14ac:dyDescent="0.25">
      <c r="L947" s="3"/>
      <c r="M947" s="3"/>
      <c r="N947" s="3"/>
    </row>
    <row r="948" spans="12:14" ht="14.25" customHeight="1" x14ac:dyDescent="0.25">
      <c r="L948" s="3"/>
      <c r="M948" s="3"/>
      <c r="N948" s="3"/>
    </row>
    <row r="949" spans="12:14" ht="14.25" customHeight="1" x14ac:dyDescent="0.25">
      <c r="L949" s="3"/>
      <c r="M949" s="3"/>
      <c r="N949" s="3"/>
    </row>
    <row r="950" spans="12:14" ht="14.25" customHeight="1" x14ac:dyDescent="0.25">
      <c r="L950" s="3"/>
      <c r="M950" s="3"/>
      <c r="N950" s="3"/>
    </row>
    <row r="951" spans="12:14" ht="14.25" customHeight="1" x14ac:dyDescent="0.25">
      <c r="L951" s="3"/>
      <c r="M951" s="3"/>
      <c r="N951" s="3"/>
    </row>
    <row r="952" spans="12:14" ht="14.25" customHeight="1" x14ac:dyDescent="0.25">
      <c r="L952" s="3"/>
      <c r="M952" s="3"/>
      <c r="N952" s="3"/>
    </row>
    <row r="953" spans="12:14" ht="14.25" customHeight="1" x14ac:dyDescent="0.25">
      <c r="L953" s="3"/>
      <c r="M953" s="3"/>
      <c r="N953" s="3"/>
    </row>
    <row r="954" spans="12:14" ht="14.25" customHeight="1" x14ac:dyDescent="0.25">
      <c r="L954" s="3"/>
      <c r="M954" s="3"/>
      <c r="N954" s="3"/>
    </row>
    <row r="955" spans="12:14" ht="14.25" customHeight="1" x14ac:dyDescent="0.25">
      <c r="L955" s="3"/>
      <c r="M955" s="3"/>
      <c r="N955" s="3"/>
    </row>
    <row r="956" spans="12:14" ht="14.25" customHeight="1" x14ac:dyDescent="0.25">
      <c r="L956" s="3"/>
      <c r="M956" s="3"/>
      <c r="N956" s="3"/>
    </row>
    <row r="957" spans="12:14" ht="14.25" customHeight="1" x14ac:dyDescent="0.25">
      <c r="L957" s="3"/>
      <c r="M957" s="3"/>
      <c r="N957" s="3"/>
    </row>
    <row r="958" spans="12:14" ht="14.25" customHeight="1" x14ac:dyDescent="0.25">
      <c r="L958" s="3"/>
      <c r="M958" s="3"/>
      <c r="N958" s="3"/>
    </row>
    <row r="959" spans="12:14" ht="14.25" customHeight="1" x14ac:dyDescent="0.25">
      <c r="L959" s="3"/>
      <c r="M959" s="3"/>
      <c r="N959" s="3"/>
    </row>
    <row r="960" spans="12:14" ht="14.25" customHeight="1" x14ac:dyDescent="0.25">
      <c r="L960" s="3"/>
      <c r="M960" s="3"/>
      <c r="N960" s="3"/>
    </row>
    <row r="961" spans="12:14" ht="14.25" customHeight="1" x14ac:dyDescent="0.25">
      <c r="L961" s="3"/>
      <c r="M961" s="3"/>
      <c r="N961" s="3"/>
    </row>
    <row r="962" spans="12:14" ht="14.25" customHeight="1" x14ac:dyDescent="0.25">
      <c r="L962" s="3"/>
      <c r="M962" s="3"/>
      <c r="N962" s="3"/>
    </row>
    <row r="963" spans="12:14" ht="14.25" customHeight="1" x14ac:dyDescent="0.25">
      <c r="L963" s="3"/>
      <c r="M963" s="3"/>
      <c r="N963" s="3"/>
    </row>
    <row r="964" spans="12:14" ht="14.25" customHeight="1" x14ac:dyDescent="0.25">
      <c r="L964" s="3"/>
      <c r="M964" s="3"/>
      <c r="N964" s="3"/>
    </row>
    <row r="965" spans="12:14" ht="14.25" customHeight="1" x14ac:dyDescent="0.25">
      <c r="L965" s="3"/>
      <c r="M965" s="3"/>
      <c r="N965" s="3"/>
    </row>
    <row r="966" spans="12:14" ht="14.25" customHeight="1" x14ac:dyDescent="0.25">
      <c r="L966" s="3"/>
      <c r="M966" s="3"/>
      <c r="N966" s="3"/>
    </row>
    <row r="967" spans="12:14" ht="14.25" customHeight="1" x14ac:dyDescent="0.25">
      <c r="L967" s="3"/>
      <c r="M967" s="3"/>
      <c r="N967" s="3"/>
    </row>
    <row r="968" spans="12:14" ht="14.25" customHeight="1" x14ac:dyDescent="0.25">
      <c r="L968" s="3"/>
      <c r="M968" s="3"/>
      <c r="N968" s="3"/>
    </row>
    <row r="969" spans="12:14" ht="14.25" customHeight="1" x14ac:dyDescent="0.25">
      <c r="L969" s="3"/>
      <c r="M969" s="3"/>
      <c r="N969" s="3"/>
    </row>
    <row r="970" spans="12:14" ht="14.25" customHeight="1" x14ac:dyDescent="0.25">
      <c r="L970" s="3"/>
      <c r="M970" s="3"/>
      <c r="N970" s="3"/>
    </row>
    <row r="971" spans="12:14" ht="14.25" customHeight="1" x14ac:dyDescent="0.25">
      <c r="L971" s="3"/>
      <c r="M971" s="3"/>
      <c r="N971" s="3"/>
    </row>
    <row r="972" spans="12:14" ht="14.25" customHeight="1" x14ac:dyDescent="0.25">
      <c r="L972" s="3"/>
      <c r="M972" s="3"/>
      <c r="N972" s="3"/>
    </row>
    <row r="973" spans="12:14" ht="14.25" customHeight="1" x14ac:dyDescent="0.25">
      <c r="L973" s="3"/>
      <c r="M973" s="3"/>
      <c r="N973" s="3"/>
    </row>
    <row r="974" spans="12:14" ht="14.25" customHeight="1" x14ac:dyDescent="0.25">
      <c r="L974" s="3"/>
      <c r="M974" s="3"/>
      <c r="N974" s="3"/>
    </row>
    <row r="975" spans="12:14" ht="14.25" customHeight="1" x14ac:dyDescent="0.25">
      <c r="L975" s="3"/>
      <c r="M975" s="3"/>
      <c r="N975" s="3"/>
    </row>
    <row r="976" spans="12:14" ht="14.25" customHeight="1" x14ac:dyDescent="0.25">
      <c r="L976" s="3"/>
      <c r="M976" s="3"/>
      <c r="N976" s="3"/>
    </row>
    <row r="977" spans="12:14" ht="14.25" customHeight="1" x14ac:dyDescent="0.25">
      <c r="L977" s="3"/>
      <c r="M977" s="3"/>
      <c r="N977" s="3"/>
    </row>
    <row r="978" spans="12:14" ht="14.25" customHeight="1" x14ac:dyDescent="0.25">
      <c r="L978" s="3"/>
      <c r="M978" s="3"/>
      <c r="N978" s="3"/>
    </row>
    <row r="979" spans="12:14" ht="14.25" customHeight="1" x14ac:dyDescent="0.25">
      <c r="L979" s="3"/>
      <c r="M979" s="3"/>
      <c r="N979" s="3"/>
    </row>
    <row r="980" spans="12:14" ht="14.25" customHeight="1" x14ac:dyDescent="0.25">
      <c r="L980" s="3"/>
      <c r="M980" s="3"/>
      <c r="N980" s="3"/>
    </row>
    <row r="981" spans="12:14" ht="14.25" customHeight="1" x14ac:dyDescent="0.25">
      <c r="L981" s="3"/>
      <c r="M981" s="3"/>
      <c r="N981" s="3"/>
    </row>
    <row r="982" spans="12:14" ht="14.25" customHeight="1" x14ac:dyDescent="0.25">
      <c r="L982" s="3"/>
      <c r="M982" s="3"/>
      <c r="N982" s="3"/>
    </row>
    <row r="983" spans="12:14" ht="14.25" customHeight="1" x14ac:dyDescent="0.25">
      <c r="L983" s="3"/>
      <c r="M983" s="3"/>
      <c r="N983" s="3"/>
    </row>
    <row r="984" spans="12:14" ht="14.25" customHeight="1" x14ac:dyDescent="0.25">
      <c r="L984" s="3"/>
      <c r="M984" s="3"/>
      <c r="N984" s="3"/>
    </row>
    <row r="985" spans="12:14" ht="14.25" customHeight="1" x14ac:dyDescent="0.25">
      <c r="L985" s="3"/>
      <c r="M985" s="3"/>
      <c r="N985" s="3"/>
    </row>
    <row r="986" spans="12:14" ht="14.25" customHeight="1" x14ac:dyDescent="0.25">
      <c r="L986" s="3"/>
      <c r="M986" s="3"/>
      <c r="N986" s="3"/>
    </row>
    <row r="987" spans="12:14" ht="14.25" customHeight="1" x14ac:dyDescent="0.25">
      <c r="L987" s="3"/>
      <c r="M987" s="3"/>
      <c r="N987" s="3"/>
    </row>
    <row r="988" spans="12:14" ht="14.25" customHeight="1" x14ac:dyDescent="0.25">
      <c r="L988" s="3"/>
      <c r="M988" s="3"/>
      <c r="N988" s="3"/>
    </row>
    <row r="989" spans="12:14" ht="14.25" customHeight="1" x14ac:dyDescent="0.25">
      <c r="L989" s="3"/>
      <c r="M989" s="3"/>
      <c r="N989" s="3"/>
    </row>
    <row r="990" spans="12:14" ht="14.25" customHeight="1" x14ac:dyDescent="0.25">
      <c r="L990" s="3"/>
      <c r="M990" s="3"/>
      <c r="N990" s="3"/>
    </row>
    <row r="991" spans="12:14" ht="14.25" customHeight="1" x14ac:dyDescent="0.25">
      <c r="L991" s="3"/>
      <c r="M991" s="3"/>
      <c r="N991" s="3"/>
    </row>
    <row r="992" spans="12:14" ht="14.25" customHeight="1" x14ac:dyDescent="0.25">
      <c r="L992" s="3"/>
      <c r="M992" s="3"/>
      <c r="N992" s="3"/>
    </row>
    <row r="993" spans="12:14" ht="14.25" customHeight="1" x14ac:dyDescent="0.25">
      <c r="L993" s="3"/>
      <c r="M993" s="3"/>
      <c r="N993" s="3"/>
    </row>
    <row r="994" spans="12:14" ht="14.25" customHeight="1" x14ac:dyDescent="0.25">
      <c r="L994" s="3"/>
      <c r="M994" s="3"/>
      <c r="N994" s="3"/>
    </row>
    <row r="995" spans="12:14" ht="14.25" customHeight="1" x14ac:dyDescent="0.25">
      <c r="L995" s="3"/>
      <c r="M995" s="3"/>
      <c r="N995" s="3"/>
    </row>
    <row r="996" spans="12:14" ht="14.25" customHeight="1" x14ac:dyDescent="0.25">
      <c r="L996" s="3"/>
      <c r="M996" s="3"/>
      <c r="N996" s="3"/>
    </row>
    <row r="997" spans="12:14" ht="14.25" customHeight="1" x14ac:dyDescent="0.25">
      <c r="L997" s="3"/>
      <c r="M997" s="3"/>
      <c r="N997" s="3"/>
    </row>
    <row r="998" spans="12:14" ht="14.25" customHeight="1" x14ac:dyDescent="0.25">
      <c r="L998" s="3"/>
      <c r="M998" s="3"/>
      <c r="N998" s="3"/>
    </row>
    <row r="999" spans="12:14" ht="14.25" customHeight="1" x14ac:dyDescent="0.25">
      <c r="L999" s="3"/>
      <c r="M999" s="3"/>
      <c r="N999" s="3"/>
    </row>
  </sheetData>
  <mergeCells count="5">
    <mergeCell ref="F1:G1"/>
    <mergeCell ref="B1:C1"/>
    <mergeCell ref="D1:E1"/>
    <mergeCell ref="H1:I1"/>
    <mergeCell ref="J1:K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69"/>
  <sheetViews>
    <sheetView showGridLines="0" zoomScale="85" zoomScaleNormal="85" workbookViewId="0">
      <pane ySplit="4" topLeftCell="A15" activePane="bottomLeft" state="frozen"/>
      <selection pane="bottomLeft" activeCell="A19" activeCellId="3" sqref="A16 A17 A18 A19"/>
    </sheetView>
  </sheetViews>
  <sheetFormatPr defaultColWidth="14.42578125" defaultRowHeight="15" customHeight="1" outlineLevelCol="1" x14ac:dyDescent="0.25"/>
  <cols>
    <col min="1" max="1" width="120.7109375" customWidth="1"/>
    <col min="2" max="2" width="62.140625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4"/>
      <c r="B1" s="8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2" t="s">
        <v>39</v>
      </c>
      <c r="B2" s="93"/>
      <c r="C2" s="65"/>
      <c r="D2" s="6" t="s">
        <v>35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4"/>
      <c r="B3" s="95"/>
      <c r="C3" s="65"/>
      <c r="D3" s="7">
        <f>SUM(C7,C15,C23,C31,C39)</f>
        <v>1</v>
      </c>
      <c r="E3" s="8">
        <f>SUM(E7,E15,E23,E31,E39)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4"/>
      <c r="B4" s="95"/>
      <c r="C4" s="65"/>
      <c r="D4" s="86" t="s">
        <v>3</v>
      </c>
      <c r="E4" s="8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'Agregados Agro'!B3</f>
        <v>Eficiência</v>
      </c>
      <c r="B5" s="88" t="s">
        <v>4</v>
      </c>
      <c r="C5" s="67"/>
      <c r="D5" s="90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59</v>
      </c>
      <c r="B6" s="89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9"/>
      <c r="C7" s="72">
        <f>VLOOKUP(A5,'Agregados Agro'!$B$3:$C$12,2,FALSE)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78" t="s">
        <v>60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61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40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41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'Agregados Agro'!B4</f>
        <v>Comprometimento</v>
      </c>
      <c r="B13" s="88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62</v>
      </c>
      <c r="B14" s="8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9"/>
      <c r="C15" s="72">
        <f>VLOOKUP(A13,'Agregados Agro'!$B$3:$C$12,2,FALSE)</f>
        <v>0.4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63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64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65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66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'Agregados Agro'!B5</f>
        <v>Orientação para segurança</v>
      </c>
      <c r="B21" s="88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67</v>
      </c>
      <c r="B22" s="8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9"/>
      <c r="C23" s="72">
        <f>VLOOKUP(A21,'Agregados Agro'!$B$3:$C$12,2,FALSE)</f>
        <v>0.25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68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69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70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71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'Agregados Agro'!B6</f>
        <v xml:space="preserve">Proatividade </v>
      </c>
      <c r="B29" s="88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72</v>
      </c>
      <c r="B30" s="8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9"/>
      <c r="C31" s="72">
        <f>VLOOKUP(A29,'Agregados Agro'!$B$3:$C$12,2,FALSE)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73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3" ht="51" customHeight="1" x14ac:dyDescent="0.25">
      <c r="A33" s="48" t="s">
        <v>74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3" ht="51" customHeight="1" x14ac:dyDescent="0.25">
      <c r="A34" s="48" t="s">
        <v>75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3" ht="51" customHeight="1" thickBot="1" x14ac:dyDescent="0.3">
      <c r="A35" s="48" t="s">
        <v>76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3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3" ht="20.45" customHeight="1" thickBot="1" x14ac:dyDescent="0.3">
      <c r="A37" s="60" t="str">
        <f>'Agregados Agro'!B7</f>
        <v xml:space="preserve">Trabalho em equipe </v>
      </c>
      <c r="B37" s="88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3" ht="43.5" customHeight="1" thickBot="1" x14ac:dyDescent="0.3">
      <c r="A38" s="73" t="s">
        <v>77</v>
      </c>
      <c r="B38" s="8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3" ht="21" customHeight="1" thickBot="1" x14ac:dyDescent="0.3">
      <c r="A39" s="74" t="s">
        <v>5</v>
      </c>
      <c r="B39" s="89"/>
      <c r="C39" s="72">
        <f>VLOOKUP(A37,'Agregados Agro'!$B$3:$C$12,2,FALSE)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3" ht="47.45" customHeight="1" x14ac:dyDescent="0.25">
      <c r="A40" s="48" t="s">
        <v>78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3" ht="51" customHeight="1" x14ac:dyDescent="0.25">
      <c r="A41" s="48" t="s">
        <v>79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3" ht="51" customHeight="1" x14ac:dyDescent="0.25">
      <c r="A42" s="48" t="s">
        <v>80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3" ht="51" customHeight="1" thickBot="1" x14ac:dyDescent="0.3">
      <c r="A43" s="48" t="s">
        <v>81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3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3" ht="18.75" customHeight="1" x14ac:dyDescent="0.25">
      <c r="B45" s="61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3" ht="14.25" customHeight="1" x14ac:dyDescent="0.25">
      <c r="B46" s="6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45.75" customHeight="1" x14ac:dyDescent="0.25">
      <c r="B47" s="61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45.75" customHeight="1" x14ac:dyDescent="0.25">
      <c r="B48" s="61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25" customHeight="1" x14ac:dyDescent="0.25">
      <c r="B49" s="61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45.75" customHeight="1" x14ac:dyDescent="0.25">
      <c r="B50" s="61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45.75" customHeight="1" x14ac:dyDescent="0.25">
      <c r="B51" s="61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3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3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3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3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3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3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3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3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3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1:23" ht="14.25" customHeight="1" x14ac:dyDescent="0.25"/>
    <row r="63" spans="1:23" ht="14.25" customHeight="1" x14ac:dyDescent="0.25"/>
    <row r="64" spans="1:2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mergeCells count="9">
    <mergeCell ref="A1:B1"/>
    <mergeCell ref="D4:E4"/>
    <mergeCell ref="B5:B7"/>
    <mergeCell ref="D5:E5"/>
    <mergeCell ref="B37:B39"/>
    <mergeCell ref="B21:B23"/>
    <mergeCell ref="B29:B31"/>
    <mergeCell ref="B13:B15"/>
    <mergeCell ref="A2:B4"/>
  </mergeCells>
  <pageMargins left="0.511811024" right="0.511811024" top="0.78740157499999996" bottom="0.78740157499999996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0FA0-12DA-48A6-B7D7-954481005FE6}">
  <sheetPr>
    <pageSetUpPr fitToPage="1"/>
  </sheetPr>
  <dimension ref="A1:Z966"/>
  <sheetViews>
    <sheetView showGridLines="0" workbookViewId="0">
      <pane ySplit="4" topLeftCell="A5" activePane="bottomLeft" state="frozen"/>
      <selection pane="bottomLeft" activeCell="A48" sqref="A48:A51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4"/>
      <c r="B1" s="8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2" t="s">
        <v>82</v>
      </c>
      <c r="B2" s="93"/>
      <c r="C2" s="65"/>
      <c r="D2" s="6" t="s">
        <v>35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4"/>
      <c r="B3" s="95"/>
      <c r="C3" s="65"/>
      <c r="D3" s="7">
        <f>SUM(C7,C15,C23,C31,C39,C47)</f>
        <v>1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4"/>
      <c r="B4" s="95"/>
      <c r="C4" s="65"/>
      <c r="D4" s="86" t="s">
        <v>3</v>
      </c>
      <c r="E4" s="8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'Agregados Agro'!D3</f>
        <v>Eficiência</v>
      </c>
      <c r="B5" s="88" t="s">
        <v>4</v>
      </c>
      <c r="C5" s="67"/>
      <c r="D5" s="90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59</v>
      </c>
      <c r="B6" s="89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9"/>
      <c r="C7" s="72">
        <f>VLOOKUP(A5,'Agregados Agro'!$D$3:$E$12,2,FALSE)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61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40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41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'Agregados Agro'!D4</f>
        <v>Comprometimento</v>
      </c>
      <c r="B13" s="88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62</v>
      </c>
      <c r="B14" s="8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9"/>
      <c r="C15" s="72">
        <f>VLOOKUP(A13,'Agregados Agro'!$D$3:$E$12,2,FALSE)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63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84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85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86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'Agregados Agro'!D5</f>
        <v>Capacidade de análise</v>
      </c>
      <c r="B21" s="88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87</v>
      </c>
      <c r="B22" s="8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9"/>
      <c r="C23" s="72">
        <f>VLOOKUP(A21,'Agregados Agro'!$D$3:$E$12,2,FALSE)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88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89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90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91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'Agregados Agro'!D6</f>
        <v>Orientação para segurança</v>
      </c>
      <c r="B29" s="88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67</v>
      </c>
      <c r="B30" s="8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9"/>
      <c r="C31" s="72">
        <f>VLOOKUP(A29,'Agregados Agro'!$D$3:$E$12,2,FALSE)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68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69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70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71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'Agregados Agro'!D7</f>
        <v xml:space="preserve">Proatividade </v>
      </c>
      <c r="B37" s="88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72</v>
      </c>
      <c r="B38" s="8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9"/>
      <c r="C39" s="72">
        <f>VLOOKUP(A37,'Agregados Agro'!$D$3:$E$12,2,FALSE)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73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74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75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76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'Agregados Agro'!D8</f>
        <v xml:space="preserve">Trabalho em equipe </v>
      </c>
      <c r="B45" s="88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77</v>
      </c>
      <c r="B46" s="8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89"/>
      <c r="C47" s="72">
        <f>VLOOKUP(A45,'Agregados Agro'!$D$3:$E$12,2,FALSE)</f>
        <v>0.2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78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79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80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81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</sheetData>
  <mergeCells count="10">
    <mergeCell ref="B21:B23"/>
    <mergeCell ref="B29:B31"/>
    <mergeCell ref="B37:B39"/>
    <mergeCell ref="B45:B47"/>
    <mergeCell ref="B13:B15"/>
    <mergeCell ref="A1:B1"/>
    <mergeCell ref="A2:B4"/>
    <mergeCell ref="D4:E4"/>
    <mergeCell ref="B5:B7"/>
    <mergeCell ref="D5:E5"/>
  </mergeCells>
  <pageMargins left="0.511811024" right="0.511811024" top="0.78740157499999996" bottom="0.78740157499999996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6DB0-A629-4C17-9CF5-725DFC8C15B3}">
  <sheetPr>
    <pageSetUpPr fitToPage="1"/>
  </sheetPr>
  <dimension ref="A1:Z958"/>
  <sheetViews>
    <sheetView showGridLines="0" workbookViewId="0">
      <pane ySplit="4" topLeftCell="A43" activePane="bottomLeft" state="frozen"/>
      <selection pane="bottomLeft" activeCell="A48" sqref="A48:A51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4"/>
      <c r="B1" s="8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2" t="s">
        <v>92</v>
      </c>
      <c r="B2" s="93"/>
      <c r="C2" s="65"/>
      <c r="D2" s="6" t="s">
        <v>35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4"/>
      <c r="B3" s="95"/>
      <c r="C3" s="65"/>
      <c r="D3" s="7">
        <f>SUM(C7,C15,C23,C31,C39,C47)</f>
        <v>1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4"/>
      <c r="B4" s="95"/>
      <c r="C4" s="65"/>
      <c r="D4" s="86" t="s">
        <v>3</v>
      </c>
      <c r="E4" s="8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'Agregados Agro'!F3</f>
        <v xml:space="preserve">Eficiência </v>
      </c>
      <c r="B5" s="88" t="s">
        <v>4</v>
      </c>
      <c r="C5" s="67"/>
      <c r="D5" s="90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59</v>
      </c>
      <c r="B6" s="89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9"/>
      <c r="C7" s="72">
        <f>VLOOKUP(A5,'Agregados Agro'!$F$3:$G$12,2,FALSE)</f>
        <v>0.15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83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61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40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41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'Agregados Agro'!F4</f>
        <v>Comprometimento</v>
      </c>
      <c r="B13" s="88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93</v>
      </c>
      <c r="B14" s="8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9"/>
      <c r="C15" s="72">
        <f>VLOOKUP(A13,'Agregados Agro'!$F$3:$G$12,2,FALSE)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94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95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96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66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'Agregados Agro'!F5</f>
        <v>Gestão de Pessoas</v>
      </c>
      <c r="B21" s="88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31</v>
      </c>
      <c r="B22" s="8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9"/>
      <c r="C23" s="72">
        <f>VLOOKUP(A21,'Agregados Agro'!$F$3:$G$12,2,FALSE)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97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98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99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100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'Agregados Agro'!F6</f>
        <v>Orientação para segurança</v>
      </c>
      <c r="B29" s="88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67</v>
      </c>
      <c r="B30" s="8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9"/>
      <c r="C31" s="72">
        <f>VLOOKUP(A29,'Agregados Agro'!$F$3:$G$12,2,FALSE)</f>
        <v>0.15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68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69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70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71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'Agregados Agro'!F7</f>
        <v xml:space="preserve">Proatividade </v>
      </c>
      <c r="B37" s="88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72</v>
      </c>
      <c r="B38" s="8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9"/>
      <c r="C39" s="72">
        <f>VLOOKUP(A37,'Agregados Agro'!$F$3:$G$12,2,FALSE)</f>
        <v>0.1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73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74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75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76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'Agregados Agro'!F8</f>
        <v>Tomada de decisão</v>
      </c>
      <c r="B45" s="88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101</v>
      </c>
      <c r="B46" s="8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89"/>
      <c r="C47" s="72">
        <f>VLOOKUP(A45,'Agregados Agro'!$F$3:$G$12,2,FALSE)</f>
        <v>0.2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102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103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104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105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4.25" customHeight="1" x14ac:dyDescent="0.25"/>
    <row r="55" spans="1:20" ht="14.25" customHeight="1" x14ac:dyDescent="0.25"/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</sheetData>
  <mergeCells count="10">
    <mergeCell ref="A1:B1"/>
    <mergeCell ref="A2:B4"/>
    <mergeCell ref="D4:E4"/>
    <mergeCell ref="B5:B7"/>
    <mergeCell ref="D5:E5"/>
    <mergeCell ref="B13:B15"/>
    <mergeCell ref="B21:B23"/>
    <mergeCell ref="B29:B31"/>
    <mergeCell ref="B37:B39"/>
    <mergeCell ref="B45:B47"/>
  </mergeCells>
  <pageMargins left="0.511811024" right="0.511811024" top="0.78740157499999996" bottom="0.78740157499999996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3C0F-1D74-45EE-BCCC-9A25D1C67770}">
  <sheetPr>
    <pageSetUpPr fitToPage="1"/>
  </sheetPr>
  <dimension ref="A1:Z957"/>
  <sheetViews>
    <sheetView showGridLines="0" tabSelected="1" workbookViewId="0">
      <pane ySplit="4" topLeftCell="A46" activePane="bottomLeft" state="frozen"/>
      <selection pane="bottomLeft" activeCell="A48" sqref="A48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4"/>
      <c r="B1" s="8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2" t="s">
        <v>106</v>
      </c>
      <c r="B2" s="93"/>
      <c r="C2" s="65"/>
      <c r="D2" s="6" t="s">
        <v>35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4"/>
      <c r="B3" s="95"/>
      <c r="C3" s="65"/>
      <c r="D3" s="7">
        <f>SUM(C7,C15,C23,C31,C39,C47)</f>
        <v>1</v>
      </c>
      <c r="E3" s="8">
        <f>SUM(E7,E15,E23,E31,E39,E47)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4"/>
      <c r="B4" s="95"/>
      <c r="C4" s="65"/>
      <c r="D4" s="86" t="s">
        <v>3</v>
      </c>
      <c r="E4" s="8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'Agregados Agro'!H3</f>
        <v xml:space="preserve">Eficiência </v>
      </c>
      <c r="B5" s="88" t="s">
        <v>4</v>
      </c>
      <c r="C5" s="67"/>
      <c r="D5" s="90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107</v>
      </c>
      <c r="B6" s="89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9"/>
      <c r="C7" s="72">
        <f>VLOOKUP(A5,'Agregados Agro'!$H$3:$I$12,2,FALSE)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108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109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110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111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'Agregados Agro'!H4</f>
        <v>Comprometimento</v>
      </c>
      <c r="B13" s="88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112</v>
      </c>
      <c r="B14" s="8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9"/>
      <c r="C15" s="72">
        <f>VLOOKUP(A13,'Agregados Agro'!$H$3:$I$12,2,FALSE)</f>
        <v>0.2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113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114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115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116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'Agregados Agro'!H5</f>
        <v>Gestão de Pessoas</v>
      </c>
      <c r="B21" s="88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31</v>
      </c>
      <c r="B22" s="8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9"/>
      <c r="C23" s="72">
        <f>VLOOKUP(A21,'Agregados Agro'!$H$3:$I$12,2,FALSE)</f>
        <v>0.2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97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98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99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100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'Agregados Agro'!H6</f>
        <v>Orientação para segurança</v>
      </c>
      <c r="B29" s="88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67</v>
      </c>
      <c r="B30" s="8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9"/>
      <c r="C31" s="72">
        <f>VLOOKUP(A29,'Agregados Agro'!$H$3:$I$12,2,FALSE)</f>
        <v>0.15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68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69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70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71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'Agregados Agro'!H7</f>
        <v>Visão sistêmica</v>
      </c>
      <c r="B37" s="88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3" t="s">
        <v>46</v>
      </c>
      <c r="B38" s="8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9"/>
      <c r="C39" s="72">
        <f>VLOOKUP(A37,'Agregados Agro'!$H$3:$I$12,2,FALSE)</f>
        <v>0.15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47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48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49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50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'Agregados Agro'!H8</f>
        <v>Tomada de decisão</v>
      </c>
      <c r="B45" s="88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3" t="s">
        <v>101</v>
      </c>
      <c r="B46" s="8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89"/>
      <c r="C47" s="72">
        <f>VLOOKUP(A45,'Agregados Agro'!$H$3:$I$12,2,FALSE)</f>
        <v>0.2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102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103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104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105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4.25" customHeight="1" x14ac:dyDescent="0.25"/>
    <row r="54" spans="1:20" ht="14.25" customHeight="1" x14ac:dyDescent="0.25"/>
    <row r="55" spans="1:20" ht="14.25" customHeight="1" x14ac:dyDescent="0.25"/>
    <row r="56" spans="1:20" ht="14.25" customHeight="1" x14ac:dyDescent="0.25"/>
    <row r="57" spans="1:20" ht="14.25" customHeight="1" x14ac:dyDescent="0.25"/>
    <row r="58" spans="1:20" ht="14.25" customHeight="1" x14ac:dyDescent="0.25"/>
    <row r="59" spans="1:20" ht="14.25" customHeight="1" x14ac:dyDescent="0.25"/>
    <row r="60" spans="1:20" ht="14.25" customHeight="1" x14ac:dyDescent="0.25"/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</sheetData>
  <mergeCells count="10">
    <mergeCell ref="B29:B31"/>
    <mergeCell ref="B37:B39"/>
    <mergeCell ref="B45:B47"/>
    <mergeCell ref="A1:B1"/>
    <mergeCell ref="A2:B4"/>
    <mergeCell ref="D4:E4"/>
    <mergeCell ref="B5:B7"/>
    <mergeCell ref="D5:E5"/>
    <mergeCell ref="B13:B15"/>
    <mergeCell ref="B21:B23"/>
  </mergeCells>
  <pageMargins left="0.511811024" right="0.511811024" top="0.78740157499999996" bottom="0.78740157499999996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CC2F-F85D-46D2-A625-A01C252FE7DD}">
  <sheetPr>
    <pageSetUpPr fitToPage="1"/>
  </sheetPr>
  <dimension ref="A1:Z966"/>
  <sheetViews>
    <sheetView showGridLines="0" workbookViewId="0">
      <pane ySplit="4" topLeftCell="A51" activePane="bottomLeft" state="frozen"/>
      <selection pane="bottomLeft" activeCell="B53" sqref="B53:B55"/>
    </sheetView>
  </sheetViews>
  <sheetFormatPr defaultColWidth="14.42578125" defaultRowHeight="15" customHeight="1" outlineLevelCol="1" x14ac:dyDescent="0.25"/>
  <cols>
    <col min="1" max="1" width="120.7109375" customWidth="1"/>
    <col min="2" max="2" width="17" customWidth="1"/>
    <col min="3" max="3" width="9.28515625" customWidth="1" outlineLevel="1"/>
    <col min="4" max="5" width="12.7109375" customWidth="1" outlineLevel="1"/>
    <col min="6" max="6" width="9.28515625" style="61" customWidth="1" outlineLevel="1"/>
    <col min="7" max="7" width="8.85546875" customWidth="1"/>
    <col min="8" max="26" width="8.7109375" customWidth="1"/>
  </cols>
  <sheetData>
    <row r="1" spans="1:26" ht="33" customHeight="1" x14ac:dyDescent="0.25">
      <c r="A1" s="84"/>
      <c r="B1" s="8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6" ht="24.75" customHeight="1" x14ac:dyDescent="0.25">
      <c r="A2" s="92" t="s">
        <v>117</v>
      </c>
      <c r="B2" s="93"/>
      <c r="C2" s="65"/>
      <c r="D2" s="6" t="s">
        <v>35</v>
      </c>
      <c r="E2" s="66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</row>
    <row r="3" spans="1:26" ht="24.75" customHeight="1" x14ac:dyDescent="0.25">
      <c r="A3" s="94"/>
      <c r="B3" s="95"/>
      <c r="C3" s="65"/>
      <c r="D3" s="7">
        <f>SUM(C7,C15,C23,C31,C39,C47,C55)</f>
        <v>0.99999999999999989</v>
      </c>
      <c r="E3" s="8">
        <f>SUM(E7,E15,E23,E31,E39,E47,E55)</f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3"/>
    </row>
    <row r="4" spans="1:26" ht="24.75" customHeight="1" x14ac:dyDescent="0.25">
      <c r="A4" s="94"/>
      <c r="B4" s="95"/>
      <c r="C4" s="65"/>
      <c r="D4" s="86" t="s">
        <v>3</v>
      </c>
      <c r="E4" s="8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3"/>
    </row>
    <row r="5" spans="1:26" ht="18.75" customHeight="1" thickBot="1" x14ac:dyDescent="0.3">
      <c r="A5" s="60" t="str">
        <f>'Agregados Agro'!J3</f>
        <v xml:space="preserve">Eficiência </v>
      </c>
      <c r="B5" s="88" t="s">
        <v>4</v>
      </c>
      <c r="C5" s="67"/>
      <c r="D5" s="90" t="str">
        <f>IF(E3&lt;=[1]Referências!$B$9,[1]Referências!C9,IF(E3&lt;=[1]Referências!$B$10,[1]Referências!$C$10,IF(E3&lt;=[1]Referências!$B$11,[1]Referências!$C$11,IF(E3&lt;=[1]Referências!$B$12,[1]Referências!$C$12,[1]Referências!$C$13))))</f>
        <v>Não atende</v>
      </c>
      <c r="E5" s="9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6" ht="33.6" customHeight="1" thickBot="1" x14ac:dyDescent="0.3">
      <c r="A6" s="73" t="s">
        <v>107</v>
      </c>
      <c r="B6" s="89"/>
      <c r="C6" s="67"/>
      <c r="D6" s="67"/>
      <c r="E6" s="6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6" ht="19.899999999999999" customHeight="1" thickBot="1" x14ac:dyDescent="0.3">
      <c r="A7" s="74" t="s">
        <v>5</v>
      </c>
      <c r="B7" s="89"/>
      <c r="C7" s="72">
        <f>VLOOKUP(A5,'Agregados Agro'!$J$3:$K$12,2,FALSE)</f>
        <v>0.1</v>
      </c>
      <c r="D7" s="68"/>
      <c r="E7" s="68">
        <f>C7*E12</f>
        <v>0</v>
      </c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6" ht="51" customHeight="1" x14ac:dyDescent="0.25">
      <c r="A8" s="48" t="s">
        <v>108</v>
      </c>
      <c r="B8" s="69"/>
      <c r="C8" s="9">
        <f>COUNTA(B8)</f>
        <v>0</v>
      </c>
      <c r="D8" s="9">
        <f>Referências!$B$2</f>
        <v>1</v>
      </c>
      <c r="E8" s="9">
        <f t="shared" ref="E8:E11" si="0">C8*D8</f>
        <v>0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6" ht="51" customHeight="1" x14ac:dyDescent="0.25">
      <c r="A9" s="48" t="s">
        <v>109</v>
      </c>
      <c r="B9" s="70"/>
      <c r="C9" s="9">
        <f>COUNTA(B9)</f>
        <v>0</v>
      </c>
      <c r="D9" s="9">
        <f>Referências!$B$3</f>
        <v>2</v>
      </c>
      <c r="E9" s="9">
        <f t="shared" si="0"/>
        <v>0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6" ht="51" customHeight="1" x14ac:dyDescent="0.25">
      <c r="A10" s="48" t="s">
        <v>110</v>
      </c>
      <c r="B10" s="70"/>
      <c r="C10" s="9">
        <f>COUNTA(B10)</f>
        <v>0</v>
      </c>
      <c r="D10" s="9">
        <f>Referências!$B$4</f>
        <v>3</v>
      </c>
      <c r="E10" s="9">
        <f t="shared" si="0"/>
        <v>0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6" ht="51" customHeight="1" thickBot="1" x14ac:dyDescent="0.3">
      <c r="A11" s="48" t="s">
        <v>111</v>
      </c>
      <c r="B11" s="71"/>
      <c r="C11" s="9">
        <f>COUNTA(B11)</f>
        <v>0</v>
      </c>
      <c r="D11" s="9">
        <f>Referências!$B$5</f>
        <v>5</v>
      </c>
      <c r="E11" s="9">
        <f t="shared" si="0"/>
        <v>0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6" ht="14.25" customHeight="1" x14ac:dyDescent="0.25">
      <c r="A12" s="67"/>
      <c r="B12" s="67"/>
      <c r="C12" s="9"/>
      <c r="D12" s="9"/>
      <c r="E12" s="9">
        <f>SUM(E8:E11)</f>
        <v>0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6" ht="18.75" customHeight="1" thickBot="1" x14ac:dyDescent="0.3">
      <c r="A13" s="60" t="str">
        <f>'Agregados Agro'!J4</f>
        <v>Comprometimento</v>
      </c>
      <c r="B13" s="88" t="s">
        <v>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6" ht="40.9" customHeight="1" thickBot="1" x14ac:dyDescent="0.3">
      <c r="A14" s="73" t="s">
        <v>118</v>
      </c>
      <c r="B14" s="8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6" ht="23.45" customHeight="1" thickBot="1" x14ac:dyDescent="0.3">
      <c r="A15" s="74" t="s">
        <v>5</v>
      </c>
      <c r="B15" s="89"/>
      <c r="C15" s="72">
        <f>VLOOKUP(A13,'Agregados Agro'!$J$3:$K$12,2,FALSE)</f>
        <v>0.1</v>
      </c>
      <c r="D15" s="9">
        <f>COUNTA(A17:A19)</f>
        <v>3</v>
      </c>
      <c r="E15" s="9">
        <f>C15*E20</f>
        <v>0</v>
      </c>
      <c r="F15" s="10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6" ht="51" customHeight="1" x14ac:dyDescent="0.25">
      <c r="A16" s="48" t="s">
        <v>119</v>
      </c>
      <c r="B16" s="69"/>
      <c r="C16" s="9">
        <f>COUNTA(B16)</f>
        <v>0</v>
      </c>
      <c r="D16" s="9">
        <f>Referências!$B$2</f>
        <v>1</v>
      </c>
      <c r="E16" s="9">
        <f t="shared" ref="E16:E19" si="1">C16*D16</f>
        <v>0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51" customHeight="1" x14ac:dyDescent="0.25">
      <c r="A17" s="48" t="s">
        <v>120</v>
      </c>
      <c r="B17" s="70"/>
      <c r="C17" s="9">
        <f>COUNTA(B17)</f>
        <v>0</v>
      </c>
      <c r="D17" s="9">
        <f>Referências!$B$3</f>
        <v>2</v>
      </c>
      <c r="E17" s="9">
        <f t="shared" si="1"/>
        <v>0</v>
      </c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51" customHeight="1" x14ac:dyDescent="0.25">
      <c r="A18" s="48" t="s">
        <v>96</v>
      </c>
      <c r="B18" s="70"/>
      <c r="C18" s="9">
        <f>COUNTA(B18)</f>
        <v>0</v>
      </c>
      <c r="D18" s="9">
        <f>Referências!$B$4</f>
        <v>3</v>
      </c>
      <c r="E18" s="9">
        <f t="shared" si="1"/>
        <v>0</v>
      </c>
      <c r="F18" s="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51" customHeight="1" thickBot="1" x14ac:dyDescent="0.3">
      <c r="A19" s="48" t="s">
        <v>66</v>
      </c>
      <c r="B19" s="71"/>
      <c r="C19" s="9">
        <f>COUNTA(B19)</f>
        <v>0</v>
      </c>
      <c r="D19" s="9">
        <f>Referências!$B$5</f>
        <v>5</v>
      </c>
      <c r="E19" s="9">
        <f t="shared" si="1"/>
        <v>0</v>
      </c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14.25" customHeight="1" x14ac:dyDescent="0.25">
      <c r="A20" s="67"/>
      <c r="B20" s="67"/>
      <c r="C20" s="9"/>
      <c r="D20" s="9"/>
      <c r="E20" s="9">
        <f>SUM(E16:E19)</f>
        <v>0</v>
      </c>
      <c r="F20" s="9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18.75" customHeight="1" thickBot="1" x14ac:dyDescent="0.3">
      <c r="A21" s="60" t="str">
        <f>'Agregados Agro'!J5</f>
        <v>Gestão de Pessoas</v>
      </c>
      <c r="B21" s="88" t="s">
        <v>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43.5" customHeight="1" thickBot="1" x14ac:dyDescent="0.3">
      <c r="A22" s="73" t="s">
        <v>31</v>
      </c>
      <c r="B22" s="8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9.149999999999999" customHeight="1" thickBot="1" x14ac:dyDescent="0.3">
      <c r="A23" s="74" t="s">
        <v>5</v>
      </c>
      <c r="B23" s="89"/>
      <c r="C23" s="72">
        <f>VLOOKUP(A21,'Agregados Agro'!$J$3:$K$12,2,FALSE)</f>
        <v>0.15</v>
      </c>
      <c r="D23" s="9">
        <f>COUNTA(A24:A27)</f>
        <v>4</v>
      </c>
      <c r="E23" s="9">
        <f>C23*E28</f>
        <v>0</v>
      </c>
      <c r="F23" s="1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51" customHeight="1" x14ac:dyDescent="0.25">
      <c r="A24" s="48" t="s">
        <v>121</v>
      </c>
      <c r="B24" s="69"/>
      <c r="C24" s="9">
        <f>COUNTA(B24)</f>
        <v>0</v>
      </c>
      <c r="D24" s="9">
        <f>Referências!$B$2</f>
        <v>1</v>
      </c>
      <c r="E24" s="9">
        <f t="shared" ref="E24:E27" si="2">C24*D24</f>
        <v>0</v>
      </c>
      <c r="F24" s="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51" customHeight="1" x14ac:dyDescent="0.25">
      <c r="A25" s="48" t="s">
        <v>122</v>
      </c>
      <c r="B25" s="70"/>
      <c r="C25" s="9">
        <f>COUNTA(B25)</f>
        <v>0</v>
      </c>
      <c r="D25" s="9">
        <f>Referências!$B$3</f>
        <v>2</v>
      </c>
      <c r="E25" s="9">
        <f t="shared" si="2"/>
        <v>0</v>
      </c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51" customHeight="1" x14ac:dyDescent="0.25">
      <c r="A26" s="48" t="s">
        <v>32</v>
      </c>
      <c r="B26" s="70"/>
      <c r="C26" s="9">
        <f>COUNTA(B26)</f>
        <v>0</v>
      </c>
      <c r="D26" s="9">
        <f>Referências!$B$4</f>
        <v>3</v>
      </c>
      <c r="E26" s="9">
        <f t="shared" si="2"/>
        <v>0</v>
      </c>
      <c r="F26" s="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51" customHeight="1" thickBot="1" x14ac:dyDescent="0.3">
      <c r="A27" s="48" t="s">
        <v>100</v>
      </c>
      <c r="B27" s="71"/>
      <c r="C27" s="9">
        <f>COUNTA(B27)</f>
        <v>0</v>
      </c>
      <c r="D27" s="9">
        <f>Referências!$B$5</f>
        <v>5</v>
      </c>
      <c r="E27" s="9">
        <f t="shared" si="2"/>
        <v>0</v>
      </c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14.25" customHeight="1" x14ac:dyDescent="0.25">
      <c r="A28" s="67"/>
      <c r="B28" s="67"/>
      <c r="C28" s="9"/>
      <c r="D28" s="9"/>
      <c r="E28" s="9">
        <f>SUM(E24:E27)</f>
        <v>0</v>
      </c>
      <c r="F28" s="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18.75" customHeight="1" thickBot="1" x14ac:dyDescent="0.3">
      <c r="A29" s="60" t="str">
        <f>'Agregados Agro'!J6</f>
        <v>Orientação para segurança</v>
      </c>
      <c r="B29" s="88" t="s">
        <v>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43.5" customHeight="1" thickBot="1" x14ac:dyDescent="0.3">
      <c r="A30" s="73" t="s">
        <v>67</v>
      </c>
      <c r="B30" s="8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45" customHeight="1" thickBot="1" x14ac:dyDescent="0.3">
      <c r="A31" s="74" t="s">
        <v>5</v>
      </c>
      <c r="B31" s="89"/>
      <c r="C31" s="72">
        <f>VLOOKUP(A29,'Agregados Agro'!$J$3:$K$12,2,FALSE)</f>
        <v>0.1</v>
      </c>
      <c r="D31" s="9">
        <f>COUNTA(A32:A35)</f>
        <v>4</v>
      </c>
      <c r="E31" s="9">
        <f>C31*E36</f>
        <v>0</v>
      </c>
      <c r="F31" s="10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51" customHeight="1" x14ac:dyDescent="0.25">
      <c r="A32" s="48" t="s">
        <v>68</v>
      </c>
      <c r="B32" s="69"/>
      <c r="C32" s="9">
        <f>COUNTA(B32)</f>
        <v>0</v>
      </c>
      <c r="D32" s="9">
        <f>Referências!$B$2</f>
        <v>1</v>
      </c>
      <c r="E32" s="9">
        <f t="shared" ref="E32:E35" si="3">C32*D32</f>
        <v>0</v>
      </c>
      <c r="F32" s="9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51" customHeight="1" x14ac:dyDescent="0.25">
      <c r="A33" s="48" t="s">
        <v>69</v>
      </c>
      <c r="B33" s="70"/>
      <c r="C33" s="9">
        <f>COUNTA(B33)</f>
        <v>0</v>
      </c>
      <c r="D33" s="9">
        <f>Referências!$B$3</f>
        <v>2</v>
      </c>
      <c r="E33" s="9">
        <f t="shared" si="3"/>
        <v>0</v>
      </c>
      <c r="F33" s="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51" customHeight="1" x14ac:dyDescent="0.25">
      <c r="A34" s="48" t="s">
        <v>70</v>
      </c>
      <c r="B34" s="70"/>
      <c r="C34" s="9">
        <f>COUNTA(B34)</f>
        <v>0</v>
      </c>
      <c r="D34" s="9">
        <f>Referências!$B$4</f>
        <v>3</v>
      </c>
      <c r="E34" s="9">
        <f t="shared" si="3"/>
        <v>0</v>
      </c>
      <c r="F34" s="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 ht="51" customHeight="1" thickBot="1" x14ac:dyDescent="0.3">
      <c r="A35" s="48" t="s">
        <v>71</v>
      </c>
      <c r="B35" s="71"/>
      <c r="C35" s="9">
        <f>COUNTA(B35)</f>
        <v>0</v>
      </c>
      <c r="D35" s="9">
        <f>Referências!$B$5</f>
        <v>5</v>
      </c>
      <c r="E35" s="9">
        <f t="shared" si="3"/>
        <v>0</v>
      </c>
      <c r="F35" s="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4.25" customHeight="1" x14ac:dyDescent="0.25">
      <c r="A36" s="67"/>
      <c r="B36" s="67"/>
      <c r="C36" s="9"/>
      <c r="D36" s="9"/>
      <c r="E36" s="9">
        <f>SUM(E32:E35)</f>
        <v>0</v>
      </c>
      <c r="F36" s="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20.45" customHeight="1" thickBot="1" x14ac:dyDescent="0.3">
      <c r="A37" s="60" t="str">
        <f>'Agregados Agro'!J7</f>
        <v>Relacionamento interpessoal</v>
      </c>
      <c r="B37" s="88" t="s">
        <v>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43.5" customHeight="1" thickBot="1" x14ac:dyDescent="0.3">
      <c r="A38" s="79" t="s">
        <v>123</v>
      </c>
      <c r="B38" s="8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21" customHeight="1" thickBot="1" x14ac:dyDescent="0.3">
      <c r="A39" s="74" t="s">
        <v>5</v>
      </c>
      <c r="B39" s="89"/>
      <c r="C39" s="72">
        <f>VLOOKUP(A37,'Agregados Agro'!$J$3:$K$12,2,FALSE)</f>
        <v>0.2</v>
      </c>
      <c r="D39" s="9">
        <f>COUNTA(A40:A43)</f>
        <v>4</v>
      </c>
      <c r="E39" s="9">
        <f>C39*E44</f>
        <v>0</v>
      </c>
      <c r="F39" s="1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47.45" customHeight="1" x14ac:dyDescent="0.25">
      <c r="A40" s="48" t="s">
        <v>124</v>
      </c>
      <c r="B40" s="69"/>
      <c r="C40" s="9">
        <f>COUNTA(B40)</f>
        <v>0</v>
      </c>
      <c r="D40" s="9">
        <f>Referências!$B$2</f>
        <v>1</v>
      </c>
      <c r="E40" s="9">
        <f t="shared" ref="E40:E43" si="4">C40*D40</f>
        <v>0</v>
      </c>
      <c r="F40" s="9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51" customHeight="1" x14ac:dyDescent="0.25">
      <c r="A41" s="48" t="s">
        <v>125</v>
      </c>
      <c r="B41" s="70"/>
      <c r="C41" s="9">
        <f>COUNTA(B41)</f>
        <v>0</v>
      </c>
      <c r="D41" s="9">
        <f>Referências!$B$3</f>
        <v>2</v>
      </c>
      <c r="E41" s="9">
        <f t="shared" si="4"/>
        <v>0</v>
      </c>
      <c r="F41" s="9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51" customHeight="1" x14ac:dyDescent="0.25">
      <c r="A42" s="48" t="s">
        <v>126</v>
      </c>
      <c r="B42" s="70"/>
      <c r="C42" s="9">
        <f>COUNTA(B42)</f>
        <v>0</v>
      </c>
      <c r="D42" s="9">
        <f>Referências!$B$4</f>
        <v>3</v>
      </c>
      <c r="E42" s="9">
        <f t="shared" si="4"/>
        <v>0</v>
      </c>
      <c r="F42" s="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" customHeight="1" thickBot="1" x14ac:dyDescent="0.3">
      <c r="A43" s="48" t="s">
        <v>127</v>
      </c>
      <c r="B43" s="71"/>
      <c r="C43" s="9">
        <f>COUNTA(B43)</f>
        <v>0</v>
      </c>
      <c r="D43" s="9">
        <f>Referências!$B$5</f>
        <v>5</v>
      </c>
      <c r="E43" s="9">
        <f t="shared" si="4"/>
        <v>0</v>
      </c>
      <c r="F43" s="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4.25" customHeight="1" x14ac:dyDescent="0.25">
      <c r="A44" s="67"/>
      <c r="B44" s="67"/>
      <c r="C44" s="9"/>
      <c r="D44" s="9"/>
      <c r="E44" s="9">
        <f>SUM(E40:E43)</f>
        <v>0</v>
      </c>
      <c r="F44" s="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8.75" customHeight="1" thickBot="1" x14ac:dyDescent="0.3">
      <c r="A45" s="60" t="str">
        <f>'Agregados Agro'!J8</f>
        <v>Resiliência</v>
      </c>
      <c r="B45" s="88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 ht="43.5" customHeight="1" thickBot="1" x14ac:dyDescent="0.3">
      <c r="A46" s="79" t="s">
        <v>128</v>
      </c>
      <c r="B46" s="8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 ht="22.9" customHeight="1" thickBot="1" x14ac:dyDescent="0.3">
      <c r="A47" s="74" t="s">
        <v>5</v>
      </c>
      <c r="B47" s="89"/>
      <c r="C47" s="72">
        <f>VLOOKUP(A45,'Agregados Agro'!$J$3:$K$12,2,FALSE)</f>
        <v>0.2</v>
      </c>
      <c r="D47" s="9">
        <f>COUNTA(A48:A51)</f>
        <v>4</v>
      </c>
      <c r="E47" s="9">
        <f>C47*E52</f>
        <v>0</v>
      </c>
      <c r="F47" s="1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0" ht="51" customHeight="1" x14ac:dyDescent="0.25">
      <c r="A48" s="48" t="s">
        <v>129</v>
      </c>
      <c r="B48" s="69"/>
      <c r="C48" s="9">
        <f>COUNTA(B48)</f>
        <v>0</v>
      </c>
      <c r="D48" s="9">
        <f>Referências!$B$2</f>
        <v>1</v>
      </c>
      <c r="E48" s="9">
        <f t="shared" ref="E48:E51" si="5">C48*D48</f>
        <v>0</v>
      </c>
      <c r="F48" s="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20" ht="51" customHeight="1" x14ac:dyDescent="0.25">
      <c r="A49" s="48" t="s">
        <v>130</v>
      </c>
      <c r="B49" s="70"/>
      <c r="C49" s="9">
        <f>COUNTA(B49)</f>
        <v>0</v>
      </c>
      <c r="D49" s="9">
        <f>Referências!$B$3</f>
        <v>2</v>
      </c>
      <c r="E49" s="9">
        <f t="shared" si="5"/>
        <v>0</v>
      </c>
      <c r="F49" s="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ht="51" customHeight="1" x14ac:dyDescent="0.25">
      <c r="A50" s="48" t="s">
        <v>131</v>
      </c>
      <c r="B50" s="70"/>
      <c r="C50" s="9">
        <f>COUNTA(B50)</f>
        <v>0</v>
      </c>
      <c r="D50" s="9">
        <f>Referências!$B$4</f>
        <v>3</v>
      </c>
      <c r="E50" s="9">
        <f t="shared" si="5"/>
        <v>0</v>
      </c>
      <c r="F50" s="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ht="51" customHeight="1" thickBot="1" x14ac:dyDescent="0.3">
      <c r="A51" s="48" t="s">
        <v>132</v>
      </c>
      <c r="B51" s="71"/>
      <c r="C51" s="9">
        <f>COUNTA(B51)</f>
        <v>0</v>
      </c>
      <c r="D51" s="9">
        <f>Referências!$B$5</f>
        <v>5</v>
      </c>
      <c r="E51" s="9">
        <f t="shared" si="5"/>
        <v>0</v>
      </c>
      <c r="F51" s="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ht="14.25" customHeight="1" x14ac:dyDescent="0.25">
      <c r="A52" s="67"/>
      <c r="B52" s="67"/>
      <c r="C52" s="9"/>
      <c r="D52" s="9"/>
      <c r="E52" s="9">
        <f>SUM(E48:E51)</f>
        <v>0</v>
      </c>
      <c r="F52" s="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1:20" ht="18.75" customHeight="1" thickBot="1" x14ac:dyDescent="0.3">
      <c r="A53" s="60" t="str">
        <f>'Agregados Agro'!J9</f>
        <v>Tomada de decisão</v>
      </c>
      <c r="B53" s="88" t="s">
        <v>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1:20" ht="43.5" customHeight="1" thickBot="1" x14ac:dyDescent="0.3">
      <c r="A54" s="73" t="s">
        <v>133</v>
      </c>
      <c r="B54" s="8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1:20" ht="22.9" customHeight="1" thickBot="1" x14ac:dyDescent="0.3">
      <c r="A55" s="74" t="s">
        <v>5</v>
      </c>
      <c r="B55" s="89"/>
      <c r="C55" s="72">
        <f>VLOOKUP(A53,'Agregados Agro'!$J$3:$K$12,2,FALSE)</f>
        <v>0.15</v>
      </c>
      <c r="D55" s="9">
        <f>COUNTA(A56:A59)</f>
        <v>4</v>
      </c>
      <c r="E55" s="9">
        <f>C55*E60</f>
        <v>0</v>
      </c>
      <c r="F55" s="1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1:20" ht="51" customHeight="1" x14ac:dyDescent="0.25">
      <c r="A56" s="48" t="s">
        <v>102</v>
      </c>
      <c r="B56" s="69"/>
      <c r="C56" s="9">
        <f>COUNTA(B56)</f>
        <v>0</v>
      </c>
      <c r="D56" s="9">
        <f>Referências!$B$2</f>
        <v>1</v>
      </c>
      <c r="E56" s="9">
        <f t="shared" ref="E56:E59" si="6">C56*D56</f>
        <v>0</v>
      </c>
      <c r="F56" s="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1:20" ht="51" customHeight="1" x14ac:dyDescent="0.25">
      <c r="A57" s="48" t="s">
        <v>134</v>
      </c>
      <c r="B57" s="70"/>
      <c r="C57" s="9">
        <f>COUNTA(B57)</f>
        <v>0</v>
      </c>
      <c r="D57" s="9">
        <f>Referências!$B$3</f>
        <v>2</v>
      </c>
      <c r="E57" s="9">
        <f t="shared" si="6"/>
        <v>0</v>
      </c>
      <c r="F57" s="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ht="51" customHeight="1" x14ac:dyDescent="0.25">
      <c r="A58" s="48" t="s">
        <v>135</v>
      </c>
      <c r="B58" s="70"/>
      <c r="C58" s="9">
        <f>COUNTA(B58)</f>
        <v>0</v>
      </c>
      <c r="D58" s="9">
        <f>Referências!$B$4</f>
        <v>3</v>
      </c>
      <c r="E58" s="9">
        <f t="shared" si="6"/>
        <v>0</v>
      </c>
      <c r="F58" s="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1:20" ht="51" customHeight="1" thickBot="1" x14ac:dyDescent="0.3">
      <c r="A59" s="48" t="s">
        <v>136</v>
      </c>
      <c r="B59" s="71"/>
      <c r="C59" s="9">
        <f>COUNTA(B59)</f>
        <v>0</v>
      </c>
      <c r="D59" s="9">
        <f>Referências!$B$5</f>
        <v>5</v>
      </c>
      <c r="E59" s="9">
        <f t="shared" si="6"/>
        <v>0</v>
      </c>
      <c r="F59" s="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ht="14.25" customHeight="1" x14ac:dyDescent="0.25">
      <c r="A60" s="67"/>
      <c r="B60" s="67"/>
      <c r="C60" s="9"/>
      <c r="D60" s="9"/>
      <c r="E60" s="9">
        <f>SUM(E56:E59)</f>
        <v>0</v>
      </c>
      <c r="F60" s="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1:20" ht="14.25" customHeight="1" x14ac:dyDescent="0.25"/>
    <row r="62" spans="1:20" ht="14.25" customHeight="1" x14ac:dyDescent="0.25"/>
    <row r="63" spans="1:20" ht="14.25" customHeight="1" x14ac:dyDescent="0.25"/>
    <row r="64" spans="1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</sheetData>
  <mergeCells count="11">
    <mergeCell ref="A1:B1"/>
    <mergeCell ref="A2:B4"/>
    <mergeCell ref="D4:E4"/>
    <mergeCell ref="B5:B7"/>
    <mergeCell ref="D5:E5"/>
    <mergeCell ref="B53:B55"/>
    <mergeCell ref="B13:B15"/>
    <mergeCell ref="B21:B23"/>
    <mergeCell ref="B29:B31"/>
    <mergeCell ref="B37:B39"/>
    <mergeCell ref="B45:B47"/>
  </mergeCells>
  <pageMargins left="0.511811024" right="0.511811024" top="0.78740157499999996" bottom="0.78740157499999996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Z1000"/>
  <sheetViews>
    <sheetView topLeftCell="A7" workbookViewId="0">
      <selection activeCell="H11" sqref="H11:W11"/>
    </sheetView>
  </sheetViews>
  <sheetFormatPr defaultColWidth="14.42578125" defaultRowHeight="15" customHeight="1" x14ac:dyDescent="0.25"/>
  <cols>
    <col min="1" max="1" width="25.7109375" customWidth="1"/>
    <col min="2" max="2" width="11.7109375" customWidth="1"/>
    <col min="3" max="3" width="25.7109375" customWidth="1"/>
    <col min="4" max="4" width="10.7109375" customWidth="1"/>
    <col min="5" max="5" width="9.28515625" customWidth="1"/>
    <col min="6" max="51" width="2.28515625" customWidth="1"/>
    <col min="52" max="52" width="5" customWidth="1"/>
    <col min="53" max="54" width="9.28515625" customWidth="1"/>
    <col min="55" max="98" width="2.28515625" customWidth="1"/>
    <col min="99" max="99" width="9.28515625" customWidth="1"/>
    <col min="100" max="104" width="2.28515625" customWidth="1"/>
  </cols>
  <sheetData>
    <row r="1" spans="1:104" ht="24.75" customHeight="1" x14ac:dyDescent="0.25">
      <c r="A1" s="11" t="s">
        <v>4</v>
      </c>
      <c r="B1" s="12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3"/>
      <c r="CV1" s="3"/>
      <c r="CW1" s="3"/>
      <c r="CX1" s="3"/>
      <c r="CY1" s="3"/>
      <c r="CZ1" s="3"/>
    </row>
    <row r="2" spans="1:104" ht="24.75" customHeight="1" x14ac:dyDescent="0.25">
      <c r="A2" s="13" t="s">
        <v>7</v>
      </c>
      <c r="B2" s="14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3"/>
      <c r="CV2" s="3"/>
      <c r="CW2" s="3"/>
      <c r="CX2" s="3"/>
      <c r="CY2" s="3"/>
      <c r="CZ2" s="3"/>
    </row>
    <row r="3" spans="1:104" ht="24.75" customHeight="1" x14ac:dyDescent="0.25">
      <c r="A3" s="13" t="s">
        <v>8</v>
      </c>
      <c r="B3" s="14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3"/>
      <c r="CV3" s="3"/>
      <c r="CW3" s="3"/>
      <c r="CX3" s="3"/>
      <c r="CY3" s="3"/>
      <c r="CZ3" s="3"/>
    </row>
    <row r="4" spans="1:104" ht="24.75" customHeight="1" x14ac:dyDescent="0.25">
      <c r="A4" s="13" t="s">
        <v>9</v>
      </c>
      <c r="B4" s="14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3"/>
      <c r="CV4" s="3"/>
      <c r="CW4" s="3"/>
      <c r="CX4" s="3"/>
      <c r="CY4" s="3"/>
      <c r="CZ4" s="3"/>
    </row>
    <row r="5" spans="1:104" ht="24.75" customHeight="1" x14ac:dyDescent="0.25">
      <c r="A5" s="15" t="s">
        <v>10</v>
      </c>
      <c r="B5" s="16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spans="1:104" ht="24.75" customHeight="1" x14ac:dyDescent="0.2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spans="1:104" ht="34.5" customHeight="1" x14ac:dyDescent="0.25">
      <c r="A7" s="17" t="s">
        <v>11</v>
      </c>
      <c r="B7" s="1"/>
      <c r="C7" s="1"/>
      <c r="D7" s="1"/>
      <c r="E7" s="1"/>
      <c r="F7" s="1"/>
      <c r="G7" s="1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8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</row>
    <row r="8" spans="1:104" ht="34.5" customHeight="1" x14ac:dyDescent="0.25">
      <c r="A8" s="107" t="s">
        <v>12</v>
      </c>
      <c r="B8" s="108"/>
      <c r="C8" s="19" t="s">
        <v>3</v>
      </c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</row>
    <row r="9" spans="1:104" ht="34.5" customHeight="1" x14ac:dyDescent="0.25">
      <c r="A9" s="20" t="s">
        <v>13</v>
      </c>
      <c r="B9" s="21">
        <v>1.6</v>
      </c>
      <c r="C9" s="22" t="s">
        <v>7</v>
      </c>
      <c r="D9" s="1"/>
      <c r="E9" s="1"/>
      <c r="F9" s="1"/>
      <c r="G9" s="1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23"/>
      <c r="AR9" s="23"/>
      <c r="AS9" s="23"/>
      <c r="AT9" s="23"/>
      <c r="AU9" s="1"/>
      <c r="AV9" s="1"/>
      <c r="AW9" s="1"/>
      <c r="AX9" s="1"/>
      <c r="AY9" s="1"/>
      <c r="AZ9" s="1"/>
      <c r="BA9" s="1"/>
      <c r="BB9" s="1"/>
      <c r="BC9" s="1"/>
      <c r="BD9" s="18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23"/>
      <c r="CO9" s="23"/>
      <c r="CP9" s="23"/>
      <c r="CQ9" s="23"/>
      <c r="CR9" s="1"/>
      <c r="CS9" s="1"/>
      <c r="CT9" s="1"/>
      <c r="CU9" s="1"/>
      <c r="CV9" s="23"/>
      <c r="CW9" s="23"/>
      <c r="CX9" s="23"/>
      <c r="CY9" s="23"/>
      <c r="CZ9" s="1"/>
    </row>
    <row r="10" spans="1:104" ht="34.5" customHeight="1" x14ac:dyDescent="0.25">
      <c r="A10" s="24" t="s">
        <v>13</v>
      </c>
      <c r="B10" s="25">
        <v>2.6</v>
      </c>
      <c r="C10" s="26" t="s">
        <v>8</v>
      </c>
      <c r="D10" s="1"/>
      <c r="E10" s="1"/>
      <c r="F10" s="1"/>
      <c r="G10" s="18"/>
      <c r="H10" s="109" t="s">
        <v>7</v>
      </c>
      <c r="I10" s="97"/>
      <c r="J10" s="97"/>
      <c r="K10" s="97"/>
      <c r="L10" s="97"/>
      <c r="M10" s="98"/>
      <c r="N10" s="110" t="s">
        <v>8</v>
      </c>
      <c r="O10" s="97"/>
      <c r="P10" s="97"/>
      <c r="Q10" s="97"/>
      <c r="R10" s="97"/>
      <c r="S10" s="97"/>
      <c r="T10" s="97"/>
      <c r="U10" s="97"/>
      <c r="V10" s="97"/>
      <c r="W10" s="98"/>
      <c r="X10" s="111" t="s">
        <v>9</v>
      </c>
      <c r="Y10" s="97"/>
      <c r="Z10" s="97"/>
      <c r="AA10" s="97"/>
      <c r="AB10" s="97"/>
      <c r="AC10" s="97"/>
      <c r="AD10" s="97"/>
      <c r="AE10" s="97"/>
      <c r="AF10" s="97"/>
      <c r="AG10" s="98"/>
      <c r="AH10" s="112" t="s">
        <v>10</v>
      </c>
      <c r="AI10" s="97"/>
      <c r="AJ10" s="97"/>
      <c r="AK10" s="97"/>
      <c r="AL10" s="97"/>
      <c r="AM10" s="97"/>
      <c r="AN10" s="97"/>
      <c r="AO10" s="97"/>
      <c r="AP10" s="98"/>
      <c r="AQ10" s="113" t="s">
        <v>14</v>
      </c>
      <c r="AR10" s="97"/>
      <c r="AS10" s="97"/>
      <c r="AT10" s="97"/>
      <c r="AU10" s="98"/>
      <c r="AV10" s="1"/>
      <c r="AW10" s="1"/>
      <c r="AX10" s="1"/>
      <c r="AY10" s="1"/>
      <c r="AZ10" s="1"/>
      <c r="BA10" s="1"/>
      <c r="BB10" s="1"/>
      <c r="BC10" s="1"/>
      <c r="BD10" s="18"/>
      <c r="BE10" s="106"/>
      <c r="BF10" s="100"/>
      <c r="BG10" s="100"/>
      <c r="BH10" s="100"/>
      <c r="BI10" s="100"/>
      <c r="BJ10" s="100"/>
      <c r="BK10" s="100"/>
      <c r="BL10" s="100"/>
      <c r="BM10" s="100"/>
      <c r="BN10" s="101"/>
      <c r="BO10" s="106"/>
      <c r="BP10" s="100"/>
      <c r="BQ10" s="100"/>
      <c r="BR10" s="100"/>
      <c r="BS10" s="100"/>
      <c r="BT10" s="100"/>
      <c r="BU10" s="100"/>
      <c r="BV10" s="101"/>
      <c r="BW10" s="106"/>
      <c r="BX10" s="100"/>
      <c r="BY10" s="100"/>
      <c r="BZ10" s="100"/>
      <c r="CA10" s="100"/>
      <c r="CB10" s="100"/>
      <c r="CC10" s="101"/>
      <c r="CD10" s="106"/>
      <c r="CE10" s="100"/>
      <c r="CF10" s="100"/>
      <c r="CG10" s="100"/>
      <c r="CH10" s="101"/>
      <c r="CI10" s="9"/>
      <c r="CJ10" s="9"/>
      <c r="CK10" s="9"/>
      <c r="CL10" s="27"/>
      <c r="CM10" s="27"/>
      <c r="CN10" s="28" t="s">
        <v>14</v>
      </c>
      <c r="CO10" s="28"/>
      <c r="CP10" s="28"/>
      <c r="CQ10" s="28"/>
      <c r="CR10" s="28"/>
      <c r="CS10" s="1"/>
      <c r="CT10" s="1"/>
      <c r="CU10" s="1"/>
      <c r="CV10" s="29"/>
      <c r="CW10" s="30"/>
      <c r="CX10" s="30"/>
      <c r="CY10" s="30"/>
      <c r="CZ10" s="30"/>
    </row>
    <row r="11" spans="1:104" ht="34.5" customHeight="1" x14ac:dyDescent="0.25">
      <c r="A11" s="31" t="s">
        <v>13</v>
      </c>
      <c r="B11" s="32">
        <v>3.6</v>
      </c>
      <c r="C11" s="33" t="s">
        <v>9</v>
      </c>
      <c r="D11" s="1"/>
      <c r="E11" s="1"/>
      <c r="F11" s="1"/>
      <c r="G11" s="18"/>
      <c r="H11" s="96" t="s">
        <v>15</v>
      </c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8"/>
      <c r="X11" s="96" t="s">
        <v>16</v>
      </c>
      <c r="Y11" s="97"/>
      <c r="Z11" s="97"/>
      <c r="AA11" s="97"/>
      <c r="AB11" s="97"/>
      <c r="AC11" s="97"/>
      <c r="AD11" s="97"/>
      <c r="AE11" s="97"/>
      <c r="AF11" s="97"/>
      <c r="AG11" s="98"/>
      <c r="AH11" s="96" t="s">
        <v>17</v>
      </c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8"/>
      <c r="AV11" s="1"/>
      <c r="AW11" s="1"/>
      <c r="AX11" s="1"/>
      <c r="AY11" s="1"/>
      <c r="AZ11" s="1"/>
      <c r="BA11" s="1"/>
      <c r="BB11" s="1"/>
      <c r="BC11" s="1"/>
      <c r="BD11" s="18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</row>
    <row r="12" spans="1:104" ht="34.5" customHeight="1" x14ac:dyDescent="0.25">
      <c r="A12" s="31" t="s">
        <v>13</v>
      </c>
      <c r="B12" s="34">
        <v>4.5</v>
      </c>
      <c r="C12" s="35" t="s">
        <v>10</v>
      </c>
      <c r="D12" s="1"/>
      <c r="E12" s="1"/>
      <c r="F12" s="1"/>
      <c r="G12" s="1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23"/>
      <c r="AR12" s="23"/>
      <c r="AS12" s="23"/>
      <c r="AT12" s="23"/>
      <c r="AU12" s="1"/>
      <c r="AV12" s="1"/>
      <c r="AW12" s="1"/>
      <c r="AX12" s="1"/>
      <c r="AY12" s="1"/>
      <c r="AZ12" s="1"/>
      <c r="BA12" s="1"/>
      <c r="BB12" s="1"/>
      <c r="BC12" s="1"/>
      <c r="BD12" s="18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23"/>
      <c r="CO12" s="23"/>
      <c r="CP12" s="23"/>
      <c r="CQ12" s="23"/>
      <c r="CR12" s="1"/>
      <c r="CS12" s="1"/>
      <c r="CT12" s="1"/>
      <c r="CU12" s="1"/>
      <c r="CV12" s="23"/>
      <c r="CW12" s="23"/>
      <c r="CX12" s="23"/>
      <c r="CY12" s="23"/>
      <c r="CZ12" s="1"/>
    </row>
    <row r="13" spans="1:104" ht="34.5" customHeight="1" x14ac:dyDescent="0.25">
      <c r="A13" s="36" t="s">
        <v>18</v>
      </c>
      <c r="B13" s="37">
        <f>B12</f>
        <v>4.5</v>
      </c>
      <c r="C13" s="38" t="s">
        <v>14</v>
      </c>
      <c r="D13" s="1"/>
      <c r="E13" s="1"/>
      <c r="F13" s="1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23"/>
      <c r="AR13" s="23"/>
      <c r="AS13" s="23"/>
      <c r="AT13" s="23"/>
      <c r="AU13" s="1"/>
      <c r="AV13" s="1"/>
      <c r="AW13" s="1"/>
      <c r="AX13" s="1"/>
      <c r="AY13" s="1"/>
      <c r="AZ13" s="1"/>
      <c r="BA13" s="1"/>
      <c r="BB13" s="1"/>
      <c r="BC13" s="1"/>
      <c r="BD13" s="18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23"/>
      <c r="CO13" s="23"/>
      <c r="CP13" s="23"/>
      <c r="CQ13" s="23"/>
      <c r="CR13" s="1"/>
      <c r="CS13" s="1"/>
      <c r="CT13" s="1"/>
      <c r="CU13" s="1"/>
      <c r="CV13" s="1"/>
      <c r="CW13" s="1"/>
      <c r="CX13" s="1"/>
      <c r="CY13" s="1"/>
      <c r="CZ13" s="1"/>
    </row>
    <row r="14" spans="1:104" ht="34.5" customHeight="1" x14ac:dyDescent="0.25">
      <c r="A14" s="1"/>
      <c r="B14" s="2"/>
      <c r="C14" s="1"/>
      <c r="D14" s="1"/>
      <c r="E14" s="1"/>
      <c r="F14" s="1"/>
      <c r="G14" s="18"/>
      <c r="H14" s="99"/>
      <c r="I14" s="100"/>
      <c r="J14" s="100"/>
      <c r="K14" s="100"/>
      <c r="L14" s="100"/>
      <c r="M14" s="101"/>
      <c r="N14" s="102"/>
      <c r="O14" s="100"/>
      <c r="P14" s="100"/>
      <c r="Q14" s="100"/>
      <c r="R14" s="100"/>
      <c r="S14" s="100"/>
      <c r="T14" s="100"/>
      <c r="U14" s="100"/>
      <c r="V14" s="100"/>
      <c r="W14" s="101"/>
      <c r="X14" s="103"/>
      <c r="Y14" s="100"/>
      <c r="Z14" s="100"/>
      <c r="AA14" s="100"/>
      <c r="AB14" s="100"/>
      <c r="AC14" s="100"/>
      <c r="AD14" s="100"/>
      <c r="AE14" s="100"/>
      <c r="AF14" s="101"/>
      <c r="AG14" s="99"/>
      <c r="AH14" s="100"/>
      <c r="AI14" s="100"/>
      <c r="AJ14" s="100"/>
      <c r="AK14" s="100"/>
      <c r="AL14" s="100"/>
      <c r="AM14" s="100"/>
      <c r="AN14" s="100"/>
      <c r="AO14" s="100"/>
      <c r="AP14" s="101"/>
      <c r="AQ14" s="104"/>
      <c r="AR14" s="100"/>
      <c r="AS14" s="100"/>
      <c r="AT14" s="100"/>
      <c r="AU14" s="101"/>
      <c r="AV14" s="1"/>
      <c r="AW14" s="1"/>
      <c r="AX14" s="1"/>
      <c r="AY14" s="1"/>
      <c r="AZ14" s="1"/>
      <c r="BA14" s="1"/>
      <c r="BB14" s="1"/>
      <c r="BC14" s="1"/>
      <c r="BD14" s="18"/>
      <c r="BE14" s="99"/>
      <c r="BF14" s="100"/>
      <c r="BG14" s="100"/>
      <c r="BH14" s="100"/>
      <c r="BI14" s="100"/>
      <c r="BJ14" s="101"/>
      <c r="BK14" s="102"/>
      <c r="BL14" s="100"/>
      <c r="BM14" s="100"/>
      <c r="BN14" s="100"/>
      <c r="BO14" s="100"/>
      <c r="BP14" s="100"/>
      <c r="BQ14" s="100"/>
      <c r="BR14" s="100"/>
      <c r="BS14" s="100"/>
      <c r="BT14" s="101"/>
      <c r="BU14" s="103"/>
      <c r="BV14" s="100"/>
      <c r="BW14" s="100"/>
      <c r="BX14" s="100"/>
      <c r="BY14" s="100"/>
      <c r="BZ14" s="100"/>
      <c r="CA14" s="100"/>
      <c r="CB14" s="100"/>
      <c r="CC14" s="101"/>
      <c r="CD14" s="99"/>
      <c r="CE14" s="100"/>
      <c r="CF14" s="100"/>
      <c r="CG14" s="100"/>
      <c r="CH14" s="100"/>
      <c r="CI14" s="100"/>
      <c r="CJ14" s="100"/>
      <c r="CK14" s="100"/>
      <c r="CL14" s="100"/>
      <c r="CM14" s="101"/>
      <c r="CN14" s="104"/>
      <c r="CO14" s="100"/>
      <c r="CP14" s="100"/>
      <c r="CQ14" s="100"/>
      <c r="CR14" s="101"/>
      <c r="CS14" s="1"/>
      <c r="CT14" s="1"/>
      <c r="CU14" s="1"/>
      <c r="CV14" s="1"/>
      <c r="CW14" s="1"/>
      <c r="CX14" s="1"/>
      <c r="CY14" s="1"/>
      <c r="CZ14" s="1"/>
    </row>
    <row r="15" spans="1:104" ht="34.5" customHeight="1" x14ac:dyDescent="0.25">
      <c r="A15" s="1"/>
      <c r="B15" s="2"/>
      <c r="C15" s="1"/>
      <c r="D15" s="1"/>
      <c r="E15" s="1"/>
      <c r="F15" s="1"/>
      <c r="G15" s="18"/>
      <c r="H15" s="105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1"/>
      <c r="X15" s="105"/>
      <c r="Y15" s="100"/>
      <c r="Z15" s="100"/>
      <c r="AA15" s="100"/>
      <c r="AB15" s="100"/>
      <c r="AC15" s="100"/>
      <c r="AD15" s="100"/>
      <c r="AE15" s="100"/>
      <c r="AF15" s="101"/>
      <c r="AG15" s="105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1"/>
      <c r="AV15" s="1"/>
      <c r="AW15" s="1"/>
      <c r="AX15" s="1"/>
      <c r="AY15" s="1"/>
      <c r="AZ15" s="1"/>
      <c r="BA15" s="1"/>
      <c r="BB15" s="1"/>
      <c r="BC15" s="1"/>
      <c r="BD15" s="18"/>
      <c r="BE15" s="105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1"/>
      <c r="BU15" s="105"/>
      <c r="BV15" s="100"/>
      <c r="BW15" s="100"/>
      <c r="BX15" s="100"/>
      <c r="BY15" s="100"/>
      <c r="BZ15" s="100"/>
      <c r="CA15" s="100"/>
      <c r="CB15" s="100"/>
      <c r="CC15" s="101"/>
      <c r="CD15" s="105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1"/>
      <c r="CS15" s="1"/>
      <c r="CT15" s="1"/>
      <c r="CU15" s="1"/>
      <c r="CV15" s="1"/>
      <c r="CW15" s="1"/>
      <c r="CX15" s="1"/>
      <c r="CY15" s="1"/>
      <c r="CZ15" s="1"/>
    </row>
    <row r="16" spans="1:104" ht="34.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</row>
    <row r="17" spans="1:104" ht="34.5" customHeight="1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</row>
    <row r="18" spans="1:104" ht="34.5" customHeight="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</row>
    <row r="19" spans="1:104" ht="14.2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</row>
    <row r="20" spans="1:104" ht="14.2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ht="14.2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ht="14.2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ht="14.2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ht="14.2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ht="14.2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ht="14.2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ht="14.2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1:104" ht="14.2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1:104" ht="14.2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1:104" ht="14.2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</row>
    <row r="31" spans="1:104" ht="14.2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</row>
    <row r="32" spans="1:104" ht="14.2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</row>
    <row r="33" spans="1:104" ht="14.2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</row>
    <row r="34" spans="1:104" ht="14.2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</row>
    <row r="35" spans="1:104" ht="14.2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</row>
    <row r="36" spans="1:104" ht="14.2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</row>
    <row r="37" spans="1:104" ht="14.2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</row>
    <row r="38" spans="1:104" ht="14.2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</row>
    <row r="39" spans="1:104" ht="14.2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</row>
    <row r="40" spans="1:104" ht="14.2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</row>
    <row r="41" spans="1:104" ht="14.2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</row>
    <row r="42" spans="1:104" ht="14.2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</row>
    <row r="43" spans="1:104" ht="14.2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</row>
    <row r="44" spans="1:104" ht="14.2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</row>
    <row r="45" spans="1:104" ht="14.2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</row>
    <row r="46" spans="1:104" ht="14.2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</row>
    <row r="47" spans="1:104" ht="14.2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</row>
    <row r="48" spans="1:104" ht="14.2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</row>
    <row r="49" spans="1:104" ht="14.2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</row>
    <row r="50" spans="1:104" ht="14.2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</row>
    <row r="51" spans="1:104" ht="14.2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</row>
    <row r="52" spans="1:104" ht="14.2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</row>
    <row r="53" spans="1:104" ht="14.2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</row>
    <row r="54" spans="1:104" ht="14.2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</row>
    <row r="55" spans="1:104" ht="14.2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</row>
    <row r="56" spans="1:104" ht="14.2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</row>
    <row r="57" spans="1:104" ht="14.2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</row>
    <row r="58" spans="1:104" ht="14.2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</row>
    <row r="59" spans="1:104" ht="14.2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</row>
    <row r="60" spans="1:104" ht="14.2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</row>
    <row r="61" spans="1:104" ht="14.2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</row>
    <row r="62" spans="1:104" ht="14.2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</row>
    <row r="63" spans="1:104" ht="14.2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</row>
    <row r="64" spans="1:104" ht="14.2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</row>
    <row r="65" spans="1:104" ht="14.2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</row>
    <row r="66" spans="1:104" ht="14.2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</row>
    <row r="67" spans="1:104" ht="14.2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</row>
    <row r="68" spans="1:104" ht="14.2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</row>
    <row r="69" spans="1:104" ht="14.2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</row>
    <row r="70" spans="1:104" ht="14.2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</row>
    <row r="71" spans="1:104" ht="14.2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</row>
    <row r="72" spans="1:104" ht="14.2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</row>
    <row r="73" spans="1:104" ht="14.2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</row>
    <row r="74" spans="1:104" ht="14.2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</row>
    <row r="75" spans="1:104" ht="14.2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</row>
    <row r="76" spans="1:104" ht="14.2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</row>
    <row r="77" spans="1:104" ht="14.2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</row>
    <row r="78" spans="1:104" ht="14.2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</row>
    <row r="79" spans="1:104" ht="14.2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</row>
    <row r="80" spans="1:104" ht="14.2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</row>
    <row r="81" spans="1:104" ht="14.2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</row>
    <row r="82" spans="1:104" ht="14.2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</row>
    <row r="83" spans="1:104" ht="14.2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</row>
    <row r="84" spans="1:104" ht="14.2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</row>
    <row r="85" spans="1:104" ht="14.2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</row>
    <row r="86" spans="1:104" ht="14.2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</row>
    <row r="87" spans="1:104" ht="14.2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</row>
    <row r="88" spans="1:104" ht="14.2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</row>
    <row r="89" spans="1:104" ht="14.2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</row>
    <row r="90" spans="1:104" ht="14.2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</row>
    <row r="91" spans="1:104" ht="14.2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</row>
    <row r="92" spans="1:104" ht="14.2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</row>
    <row r="93" spans="1:104" ht="14.2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</row>
    <row r="94" spans="1:104" ht="14.2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</row>
    <row r="95" spans="1:104" ht="14.2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</row>
    <row r="96" spans="1:104" ht="14.2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</row>
    <row r="97" spans="1:104" ht="14.2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</row>
    <row r="98" spans="1:104" ht="14.2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</row>
    <row r="99" spans="1:104" ht="14.2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</row>
    <row r="100" spans="1:104" ht="14.2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</row>
    <row r="101" spans="1:104" ht="14.2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</row>
    <row r="102" spans="1:104" ht="14.2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</row>
    <row r="103" spans="1:104" ht="14.2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</row>
    <row r="104" spans="1:104" ht="14.2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</row>
    <row r="105" spans="1:104" ht="14.2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</row>
    <row r="106" spans="1:104" ht="14.2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</row>
    <row r="107" spans="1:104" ht="14.2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</row>
    <row r="108" spans="1:104" ht="14.2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</row>
    <row r="109" spans="1:104" ht="14.2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</row>
    <row r="110" spans="1:104" ht="14.2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</row>
    <row r="111" spans="1:104" ht="14.2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</row>
    <row r="112" spans="1:104" ht="14.2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</row>
    <row r="113" spans="1:104" ht="14.2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</row>
    <row r="114" spans="1:104" ht="14.2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</row>
    <row r="115" spans="1:104" ht="14.2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</row>
    <row r="116" spans="1:104" ht="14.2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</row>
    <row r="117" spans="1:104" ht="14.2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</row>
    <row r="118" spans="1:104" ht="14.2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</row>
    <row r="119" spans="1:104" ht="14.2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</row>
    <row r="120" spans="1:104" ht="14.2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</row>
    <row r="121" spans="1:104" ht="14.2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</row>
    <row r="122" spans="1:104" ht="14.2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</row>
    <row r="123" spans="1:104" ht="14.2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</row>
    <row r="124" spans="1:104" ht="14.2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</row>
    <row r="125" spans="1:104" ht="14.2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</row>
    <row r="126" spans="1:104" ht="14.2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</row>
    <row r="127" spans="1:104" ht="14.2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</row>
    <row r="128" spans="1:104" ht="14.2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</row>
    <row r="129" spans="1:104" ht="14.2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</row>
    <row r="130" spans="1:104" ht="14.2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</row>
    <row r="131" spans="1:104" ht="14.2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</row>
    <row r="132" spans="1:104" ht="14.2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</row>
    <row r="133" spans="1:104" ht="14.2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</row>
    <row r="134" spans="1:104" ht="14.2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</row>
    <row r="135" spans="1:104" ht="14.2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</row>
    <row r="136" spans="1:104" ht="14.2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</row>
    <row r="137" spans="1:104" ht="14.2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</row>
    <row r="138" spans="1:104" ht="14.2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</row>
    <row r="139" spans="1:104" ht="14.2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</row>
    <row r="140" spans="1:104" ht="14.2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</row>
    <row r="141" spans="1:104" ht="14.2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</row>
    <row r="142" spans="1:104" ht="14.2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</row>
    <row r="143" spans="1:104" ht="14.2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</row>
    <row r="144" spans="1:104" ht="14.2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</row>
    <row r="145" spans="1:104" ht="14.2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</row>
    <row r="146" spans="1:104" ht="14.2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</row>
    <row r="147" spans="1:104" ht="14.2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</row>
    <row r="148" spans="1:104" ht="14.2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</row>
    <row r="149" spans="1:104" ht="14.2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</row>
    <row r="150" spans="1:104" ht="14.2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</row>
    <row r="151" spans="1:104" ht="14.2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</row>
    <row r="152" spans="1:104" ht="14.2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</row>
    <row r="153" spans="1:104" ht="14.2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</row>
    <row r="154" spans="1:104" ht="14.2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</row>
    <row r="155" spans="1:104" ht="14.2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</row>
    <row r="156" spans="1:104" ht="14.2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</row>
    <row r="157" spans="1:104" ht="14.2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</row>
    <row r="158" spans="1:104" ht="14.2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</row>
    <row r="159" spans="1:104" ht="14.25" customHeight="1" x14ac:dyDescent="0.25">
      <c r="A159" s="3"/>
      <c r="B159" s="4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3"/>
      <c r="CV159" s="3"/>
      <c r="CW159" s="3"/>
      <c r="CX159" s="3"/>
      <c r="CY159" s="3"/>
      <c r="CZ159" s="3"/>
    </row>
    <row r="160" spans="1:104" ht="14.25" customHeight="1" x14ac:dyDescent="0.25">
      <c r="A160" s="3"/>
      <c r="B160" s="4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3"/>
      <c r="CV160" s="3"/>
      <c r="CW160" s="3"/>
      <c r="CX160" s="3"/>
      <c r="CY160" s="3"/>
      <c r="CZ160" s="3"/>
    </row>
    <row r="161" spans="1:104" ht="14.25" customHeight="1" x14ac:dyDescent="0.25">
      <c r="A161" s="3"/>
      <c r="B161" s="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3"/>
      <c r="CV161" s="3"/>
      <c r="CW161" s="3"/>
      <c r="CX161" s="3"/>
      <c r="CY161" s="3"/>
      <c r="CZ161" s="3"/>
    </row>
    <row r="162" spans="1:104" ht="14.25" customHeight="1" x14ac:dyDescent="0.25">
      <c r="A162" s="3"/>
      <c r="B162" s="4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3"/>
      <c r="CV162" s="3"/>
      <c r="CW162" s="3"/>
      <c r="CX162" s="3"/>
      <c r="CY162" s="3"/>
      <c r="CZ162" s="3"/>
    </row>
    <row r="163" spans="1:104" ht="14.25" customHeight="1" x14ac:dyDescent="0.25">
      <c r="A163" s="3"/>
      <c r="B163" s="4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3"/>
      <c r="CV163" s="3"/>
      <c r="CW163" s="3"/>
      <c r="CX163" s="3"/>
      <c r="CY163" s="3"/>
      <c r="CZ163" s="3"/>
    </row>
    <row r="164" spans="1:104" ht="14.25" customHeight="1" x14ac:dyDescent="0.25">
      <c r="A164" s="3"/>
      <c r="B164" s="4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3"/>
      <c r="CV164" s="3"/>
      <c r="CW164" s="3"/>
      <c r="CX164" s="3"/>
      <c r="CY164" s="3"/>
      <c r="CZ164" s="3"/>
    </row>
    <row r="165" spans="1:104" ht="14.25" customHeight="1" x14ac:dyDescent="0.25">
      <c r="A165" s="3"/>
      <c r="B165" s="4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3"/>
      <c r="CV165" s="3"/>
      <c r="CW165" s="3"/>
      <c r="CX165" s="3"/>
      <c r="CY165" s="3"/>
      <c r="CZ165" s="3"/>
    </row>
    <row r="166" spans="1:104" ht="14.25" customHeight="1" x14ac:dyDescent="0.25">
      <c r="A166" s="3"/>
      <c r="B166" s="4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3"/>
      <c r="CV166" s="3"/>
      <c r="CW166" s="3"/>
      <c r="CX166" s="3"/>
      <c r="CY166" s="3"/>
      <c r="CZ166" s="3"/>
    </row>
    <row r="167" spans="1:104" ht="14.25" customHeight="1" x14ac:dyDescent="0.25">
      <c r="A167" s="3"/>
      <c r="B167" s="4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3"/>
      <c r="CV167" s="3"/>
      <c r="CW167" s="3"/>
      <c r="CX167" s="3"/>
      <c r="CY167" s="3"/>
      <c r="CZ167" s="3"/>
    </row>
    <row r="168" spans="1:104" ht="14.25" customHeight="1" x14ac:dyDescent="0.25">
      <c r="A168" s="3"/>
      <c r="B168" s="4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3"/>
      <c r="CV168" s="3"/>
      <c r="CW168" s="3"/>
      <c r="CX168" s="3"/>
      <c r="CY168" s="3"/>
      <c r="CZ168" s="3"/>
    </row>
    <row r="169" spans="1:104" ht="14.25" customHeight="1" x14ac:dyDescent="0.25">
      <c r="A169" s="3"/>
      <c r="B169" s="4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3"/>
      <c r="CV169" s="3"/>
      <c r="CW169" s="3"/>
      <c r="CX169" s="3"/>
      <c r="CY169" s="3"/>
      <c r="CZ169" s="3"/>
    </row>
    <row r="170" spans="1:104" ht="14.25" customHeight="1" x14ac:dyDescent="0.25">
      <c r="A170" s="3"/>
      <c r="B170" s="4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3"/>
      <c r="CV170" s="3"/>
      <c r="CW170" s="3"/>
      <c r="CX170" s="3"/>
      <c r="CY170" s="3"/>
      <c r="CZ170" s="3"/>
    </row>
    <row r="171" spans="1:104" ht="14.25" customHeight="1" x14ac:dyDescent="0.25">
      <c r="A171" s="3"/>
      <c r="B171" s="4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3"/>
      <c r="CV171" s="3"/>
      <c r="CW171" s="3"/>
      <c r="CX171" s="3"/>
      <c r="CY171" s="3"/>
      <c r="CZ171" s="3"/>
    </row>
    <row r="172" spans="1:104" ht="14.25" customHeight="1" x14ac:dyDescent="0.25">
      <c r="A172" s="3"/>
      <c r="B172" s="4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3"/>
      <c r="CV172" s="3"/>
      <c r="CW172" s="3"/>
      <c r="CX172" s="3"/>
      <c r="CY172" s="3"/>
      <c r="CZ172" s="3"/>
    </row>
    <row r="173" spans="1:104" ht="14.25" customHeight="1" x14ac:dyDescent="0.25">
      <c r="A173" s="3"/>
      <c r="B173" s="4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3"/>
      <c r="CV173" s="3"/>
      <c r="CW173" s="3"/>
      <c r="CX173" s="3"/>
      <c r="CY173" s="3"/>
      <c r="CZ173" s="3"/>
    </row>
    <row r="174" spans="1:104" ht="14.25" customHeight="1" x14ac:dyDescent="0.25">
      <c r="A174" s="3"/>
      <c r="B174" s="4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3"/>
      <c r="CV174" s="3"/>
      <c r="CW174" s="3"/>
      <c r="CX174" s="3"/>
      <c r="CY174" s="3"/>
      <c r="CZ174" s="3"/>
    </row>
    <row r="175" spans="1:104" ht="14.25" customHeight="1" x14ac:dyDescent="0.25">
      <c r="A175" s="3"/>
      <c r="B175" s="4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3"/>
      <c r="CV175" s="3"/>
      <c r="CW175" s="3"/>
      <c r="CX175" s="3"/>
      <c r="CY175" s="3"/>
      <c r="CZ175" s="3"/>
    </row>
    <row r="176" spans="1:104" ht="14.25" customHeight="1" x14ac:dyDescent="0.25">
      <c r="A176" s="3"/>
      <c r="B176" s="4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3"/>
      <c r="CV176" s="3"/>
      <c r="CW176" s="3"/>
      <c r="CX176" s="3"/>
      <c r="CY176" s="3"/>
      <c r="CZ176" s="3"/>
    </row>
    <row r="177" spans="1:104" ht="14.25" customHeight="1" x14ac:dyDescent="0.25">
      <c r="A177" s="3"/>
      <c r="B177" s="4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3"/>
      <c r="CV177" s="3"/>
      <c r="CW177" s="3"/>
      <c r="CX177" s="3"/>
      <c r="CY177" s="3"/>
      <c r="CZ177" s="3"/>
    </row>
    <row r="178" spans="1:104" ht="14.25" customHeight="1" x14ac:dyDescent="0.25">
      <c r="A178" s="3"/>
      <c r="B178" s="4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3"/>
      <c r="CV178" s="3"/>
      <c r="CW178" s="3"/>
      <c r="CX178" s="3"/>
      <c r="CY178" s="3"/>
      <c r="CZ178" s="3"/>
    </row>
    <row r="179" spans="1:104" ht="14.25" customHeight="1" x14ac:dyDescent="0.25">
      <c r="A179" s="3"/>
      <c r="B179" s="4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3"/>
      <c r="CV179" s="3"/>
      <c r="CW179" s="3"/>
      <c r="CX179" s="3"/>
      <c r="CY179" s="3"/>
      <c r="CZ179" s="3"/>
    </row>
    <row r="180" spans="1:104" ht="14.25" customHeight="1" x14ac:dyDescent="0.25">
      <c r="A180" s="3"/>
      <c r="B180" s="4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3"/>
      <c r="CV180" s="3"/>
      <c r="CW180" s="3"/>
      <c r="CX180" s="3"/>
      <c r="CY180" s="3"/>
      <c r="CZ180" s="3"/>
    </row>
    <row r="181" spans="1:104" ht="14.25" customHeight="1" x14ac:dyDescent="0.25">
      <c r="A181" s="3"/>
      <c r="B181" s="4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3"/>
      <c r="CV181" s="3"/>
      <c r="CW181" s="3"/>
      <c r="CX181" s="3"/>
      <c r="CY181" s="3"/>
      <c r="CZ181" s="3"/>
    </row>
    <row r="182" spans="1:104" ht="14.25" customHeight="1" x14ac:dyDescent="0.25">
      <c r="A182" s="3"/>
      <c r="B182" s="4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3"/>
      <c r="CV182" s="3"/>
      <c r="CW182" s="3"/>
      <c r="CX182" s="3"/>
      <c r="CY182" s="3"/>
      <c r="CZ182" s="3"/>
    </row>
    <row r="183" spans="1:104" ht="14.25" customHeight="1" x14ac:dyDescent="0.25">
      <c r="A183" s="3"/>
      <c r="B183" s="4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3"/>
      <c r="CV183" s="3"/>
      <c r="CW183" s="3"/>
      <c r="CX183" s="3"/>
      <c r="CY183" s="3"/>
      <c r="CZ183" s="3"/>
    </row>
    <row r="184" spans="1:104" ht="14.25" customHeight="1" x14ac:dyDescent="0.25">
      <c r="A184" s="3"/>
      <c r="B184" s="4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3"/>
      <c r="CV184" s="3"/>
      <c r="CW184" s="3"/>
      <c r="CX184" s="3"/>
      <c r="CY184" s="3"/>
      <c r="CZ184" s="3"/>
    </row>
    <row r="185" spans="1:104" ht="14.25" customHeight="1" x14ac:dyDescent="0.25">
      <c r="A185" s="3"/>
      <c r="B185" s="4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3"/>
      <c r="CV185" s="3"/>
      <c r="CW185" s="3"/>
      <c r="CX185" s="3"/>
      <c r="CY185" s="3"/>
      <c r="CZ185" s="3"/>
    </row>
    <row r="186" spans="1:104" ht="14.25" customHeight="1" x14ac:dyDescent="0.25">
      <c r="A186" s="3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3"/>
      <c r="CV186" s="3"/>
      <c r="CW186" s="3"/>
      <c r="CX186" s="3"/>
      <c r="CY186" s="3"/>
      <c r="CZ186" s="3"/>
    </row>
    <row r="187" spans="1:104" ht="14.25" customHeight="1" x14ac:dyDescent="0.25">
      <c r="A187" s="3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3"/>
      <c r="CV187" s="3"/>
      <c r="CW187" s="3"/>
      <c r="CX187" s="3"/>
      <c r="CY187" s="3"/>
      <c r="CZ187" s="3"/>
    </row>
    <row r="188" spans="1:104" ht="14.25" customHeight="1" x14ac:dyDescent="0.25">
      <c r="A188" s="3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3"/>
      <c r="CV188" s="3"/>
      <c r="CW188" s="3"/>
      <c r="CX188" s="3"/>
      <c r="CY188" s="3"/>
      <c r="CZ188" s="3"/>
    </row>
    <row r="189" spans="1:104" ht="14.25" customHeight="1" x14ac:dyDescent="0.25">
      <c r="A189" s="3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3"/>
      <c r="CV189" s="3"/>
      <c r="CW189" s="3"/>
      <c r="CX189" s="3"/>
      <c r="CY189" s="3"/>
      <c r="CZ189" s="3"/>
    </row>
    <row r="190" spans="1:104" ht="14.25" customHeight="1" x14ac:dyDescent="0.25">
      <c r="A190" s="3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3"/>
      <c r="CV190" s="3"/>
      <c r="CW190" s="3"/>
      <c r="CX190" s="3"/>
      <c r="CY190" s="3"/>
      <c r="CZ190" s="3"/>
    </row>
    <row r="191" spans="1:104" ht="14.25" customHeight="1" x14ac:dyDescent="0.25">
      <c r="A191" s="3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3"/>
      <c r="CV191" s="3"/>
      <c r="CW191" s="3"/>
      <c r="CX191" s="3"/>
      <c r="CY191" s="3"/>
      <c r="CZ191" s="3"/>
    </row>
    <row r="192" spans="1:104" ht="14.25" customHeight="1" x14ac:dyDescent="0.25">
      <c r="A192" s="3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3"/>
      <c r="CV192" s="3"/>
      <c r="CW192" s="3"/>
      <c r="CX192" s="3"/>
      <c r="CY192" s="3"/>
      <c r="CZ192" s="3"/>
    </row>
    <row r="193" spans="1:104" ht="14.25" customHeight="1" x14ac:dyDescent="0.25">
      <c r="A193" s="3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3"/>
      <c r="CV193" s="3"/>
      <c r="CW193" s="3"/>
      <c r="CX193" s="3"/>
      <c r="CY193" s="3"/>
      <c r="CZ193" s="3"/>
    </row>
    <row r="194" spans="1:104" ht="14.25" customHeight="1" x14ac:dyDescent="0.25">
      <c r="A194" s="3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3"/>
      <c r="CV194" s="3"/>
      <c r="CW194" s="3"/>
      <c r="CX194" s="3"/>
      <c r="CY194" s="3"/>
      <c r="CZ194" s="3"/>
    </row>
    <row r="195" spans="1:104" ht="14.25" customHeight="1" x14ac:dyDescent="0.25">
      <c r="A195" s="3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3"/>
      <c r="CV195" s="3"/>
      <c r="CW195" s="3"/>
      <c r="CX195" s="3"/>
      <c r="CY195" s="3"/>
      <c r="CZ195" s="3"/>
    </row>
    <row r="196" spans="1:104" ht="14.25" customHeight="1" x14ac:dyDescent="0.25">
      <c r="A196" s="3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3"/>
      <c r="CV196" s="3"/>
      <c r="CW196" s="3"/>
      <c r="CX196" s="3"/>
      <c r="CY196" s="3"/>
      <c r="CZ196" s="3"/>
    </row>
    <row r="197" spans="1:104" ht="14.25" customHeight="1" x14ac:dyDescent="0.25">
      <c r="A197" s="3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3"/>
      <c r="CV197" s="3"/>
      <c r="CW197" s="3"/>
      <c r="CX197" s="3"/>
      <c r="CY197" s="3"/>
      <c r="CZ197" s="3"/>
    </row>
    <row r="198" spans="1:104" ht="14.25" customHeight="1" x14ac:dyDescent="0.25">
      <c r="A198" s="3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3"/>
      <c r="CV198" s="3"/>
      <c r="CW198" s="3"/>
      <c r="CX198" s="3"/>
      <c r="CY198" s="3"/>
      <c r="CZ198" s="3"/>
    </row>
    <row r="199" spans="1:104" ht="14.25" customHeight="1" x14ac:dyDescent="0.25">
      <c r="A199" s="3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3"/>
      <c r="CV199" s="3"/>
      <c r="CW199" s="3"/>
      <c r="CX199" s="3"/>
      <c r="CY199" s="3"/>
      <c r="CZ199" s="3"/>
    </row>
    <row r="200" spans="1:104" ht="14.25" customHeight="1" x14ac:dyDescent="0.25">
      <c r="A200" s="3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3"/>
      <c r="CV200" s="3"/>
      <c r="CW200" s="3"/>
      <c r="CX200" s="3"/>
      <c r="CY200" s="3"/>
      <c r="CZ200" s="3"/>
    </row>
    <row r="201" spans="1:104" ht="14.25" customHeight="1" x14ac:dyDescent="0.25">
      <c r="A201" s="3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3"/>
      <c r="CV201" s="3"/>
      <c r="CW201" s="3"/>
      <c r="CX201" s="3"/>
      <c r="CY201" s="3"/>
      <c r="CZ201" s="3"/>
    </row>
    <row r="202" spans="1:104" ht="14.25" customHeight="1" x14ac:dyDescent="0.25">
      <c r="A202" s="3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3"/>
      <c r="CV202" s="3"/>
      <c r="CW202" s="3"/>
      <c r="CX202" s="3"/>
      <c r="CY202" s="3"/>
      <c r="CZ202" s="3"/>
    </row>
    <row r="203" spans="1:104" ht="14.25" customHeight="1" x14ac:dyDescent="0.25">
      <c r="A203" s="3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3"/>
      <c r="CV203" s="3"/>
      <c r="CW203" s="3"/>
      <c r="CX203" s="3"/>
      <c r="CY203" s="3"/>
      <c r="CZ203" s="3"/>
    </row>
    <row r="204" spans="1:104" ht="14.25" customHeight="1" x14ac:dyDescent="0.25">
      <c r="A204" s="3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3"/>
      <c r="CV204" s="3"/>
      <c r="CW204" s="3"/>
      <c r="CX204" s="3"/>
      <c r="CY204" s="3"/>
      <c r="CZ204" s="3"/>
    </row>
    <row r="205" spans="1:104" ht="14.25" customHeight="1" x14ac:dyDescent="0.25">
      <c r="A205" s="3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3"/>
      <c r="CV205" s="3"/>
      <c r="CW205" s="3"/>
      <c r="CX205" s="3"/>
      <c r="CY205" s="3"/>
      <c r="CZ205" s="3"/>
    </row>
    <row r="206" spans="1:104" ht="14.25" customHeight="1" x14ac:dyDescent="0.25">
      <c r="A206" s="3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3"/>
      <c r="CV206" s="3"/>
      <c r="CW206" s="3"/>
      <c r="CX206" s="3"/>
      <c r="CY206" s="3"/>
      <c r="CZ206" s="3"/>
    </row>
    <row r="207" spans="1:104" ht="14.25" customHeight="1" x14ac:dyDescent="0.25">
      <c r="A207" s="3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3"/>
      <c r="CV207" s="3"/>
      <c r="CW207" s="3"/>
      <c r="CX207" s="3"/>
      <c r="CY207" s="3"/>
      <c r="CZ207" s="3"/>
    </row>
    <row r="208" spans="1:104" ht="14.25" customHeight="1" x14ac:dyDescent="0.25">
      <c r="A208" s="3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3"/>
      <c r="CV208" s="3"/>
      <c r="CW208" s="3"/>
      <c r="CX208" s="3"/>
      <c r="CY208" s="3"/>
      <c r="CZ208" s="3"/>
    </row>
    <row r="209" spans="1:104" ht="14.25" customHeight="1" x14ac:dyDescent="0.25">
      <c r="A209" s="3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3"/>
      <c r="CV209" s="3"/>
      <c r="CW209" s="3"/>
      <c r="CX209" s="3"/>
      <c r="CY209" s="3"/>
      <c r="CZ209" s="3"/>
    </row>
    <row r="210" spans="1:104" ht="14.25" customHeight="1" x14ac:dyDescent="0.25">
      <c r="A210" s="3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3"/>
      <c r="CV210" s="3"/>
      <c r="CW210" s="3"/>
      <c r="CX210" s="3"/>
      <c r="CY210" s="3"/>
      <c r="CZ210" s="3"/>
    </row>
    <row r="211" spans="1:104" ht="14.25" customHeight="1" x14ac:dyDescent="0.25">
      <c r="A211" s="3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3"/>
      <c r="CV211" s="3"/>
      <c r="CW211" s="3"/>
      <c r="CX211" s="3"/>
      <c r="CY211" s="3"/>
      <c r="CZ211" s="3"/>
    </row>
    <row r="212" spans="1:104" ht="14.25" customHeight="1" x14ac:dyDescent="0.25">
      <c r="A212" s="3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3"/>
      <c r="CV212" s="3"/>
      <c r="CW212" s="3"/>
      <c r="CX212" s="3"/>
      <c r="CY212" s="3"/>
      <c r="CZ212" s="3"/>
    </row>
    <row r="213" spans="1:104" ht="14.25" customHeight="1" x14ac:dyDescent="0.25">
      <c r="A213" s="3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3"/>
      <c r="CV213" s="3"/>
      <c r="CW213" s="3"/>
      <c r="CX213" s="3"/>
      <c r="CY213" s="3"/>
      <c r="CZ213" s="3"/>
    </row>
    <row r="214" spans="1:104" ht="14.25" customHeight="1" x14ac:dyDescent="0.25">
      <c r="A214" s="3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3"/>
      <c r="CV214" s="3"/>
      <c r="CW214" s="3"/>
      <c r="CX214" s="3"/>
      <c r="CY214" s="3"/>
      <c r="CZ214" s="3"/>
    </row>
    <row r="215" spans="1:104" ht="14.25" customHeight="1" x14ac:dyDescent="0.25">
      <c r="A215" s="3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3"/>
      <c r="CV215" s="3"/>
      <c r="CW215" s="3"/>
      <c r="CX215" s="3"/>
      <c r="CY215" s="3"/>
      <c r="CZ215" s="3"/>
    </row>
    <row r="216" spans="1:104" ht="14.25" customHeight="1" x14ac:dyDescent="0.25">
      <c r="A216" s="3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3"/>
      <c r="CV216" s="3"/>
      <c r="CW216" s="3"/>
      <c r="CX216" s="3"/>
      <c r="CY216" s="3"/>
      <c r="CZ216" s="3"/>
    </row>
    <row r="217" spans="1:104" ht="14.25" customHeight="1" x14ac:dyDescent="0.25">
      <c r="A217" s="3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3"/>
      <c r="CV217" s="3"/>
      <c r="CW217" s="3"/>
      <c r="CX217" s="3"/>
      <c r="CY217" s="3"/>
      <c r="CZ217" s="3"/>
    </row>
    <row r="218" spans="1:104" ht="14.25" customHeight="1" x14ac:dyDescent="0.25">
      <c r="A218" s="3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3"/>
      <c r="CV218" s="3"/>
      <c r="CW218" s="3"/>
      <c r="CX218" s="3"/>
      <c r="CY218" s="3"/>
      <c r="CZ218" s="3"/>
    </row>
    <row r="219" spans="1:104" ht="14.25" customHeight="1" x14ac:dyDescent="0.25">
      <c r="A219" s="3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3"/>
      <c r="CV219" s="3"/>
      <c r="CW219" s="3"/>
      <c r="CX219" s="3"/>
      <c r="CY219" s="3"/>
      <c r="CZ219" s="3"/>
    </row>
    <row r="220" spans="1:104" ht="14.25" customHeight="1" x14ac:dyDescent="0.25">
      <c r="A220" s="3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3"/>
      <c r="CV220" s="3"/>
      <c r="CW220" s="3"/>
      <c r="CX220" s="3"/>
      <c r="CY220" s="3"/>
      <c r="CZ220" s="3"/>
    </row>
    <row r="221" spans="1:104" ht="14.25" customHeight="1" x14ac:dyDescent="0.25">
      <c r="A221" s="3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3"/>
      <c r="CV221" s="3"/>
      <c r="CW221" s="3"/>
      <c r="CX221" s="3"/>
      <c r="CY221" s="3"/>
      <c r="CZ221" s="3"/>
    </row>
    <row r="222" spans="1:104" ht="14.25" customHeight="1" x14ac:dyDescent="0.25">
      <c r="A222" s="3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3"/>
      <c r="CV222" s="3"/>
      <c r="CW222" s="3"/>
      <c r="CX222" s="3"/>
      <c r="CY222" s="3"/>
      <c r="CZ222" s="3"/>
    </row>
    <row r="223" spans="1:104" ht="14.25" customHeight="1" x14ac:dyDescent="0.25">
      <c r="A223" s="3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3"/>
      <c r="CV223" s="3"/>
      <c r="CW223" s="3"/>
      <c r="CX223" s="3"/>
      <c r="CY223" s="3"/>
      <c r="CZ223" s="3"/>
    </row>
    <row r="224" spans="1:104" ht="14.25" customHeight="1" x14ac:dyDescent="0.25">
      <c r="A224" s="3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3"/>
      <c r="CV224" s="3"/>
      <c r="CW224" s="3"/>
      <c r="CX224" s="3"/>
      <c r="CY224" s="3"/>
      <c r="CZ224" s="3"/>
    </row>
    <row r="225" spans="1:104" ht="14.25" customHeight="1" x14ac:dyDescent="0.25">
      <c r="A225" s="3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3"/>
      <c r="CV225" s="3"/>
      <c r="CW225" s="3"/>
      <c r="CX225" s="3"/>
      <c r="CY225" s="3"/>
      <c r="CZ225" s="3"/>
    </row>
    <row r="226" spans="1:104" ht="14.25" customHeight="1" x14ac:dyDescent="0.25">
      <c r="A226" s="3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3"/>
      <c r="CV226" s="3"/>
      <c r="CW226" s="3"/>
      <c r="CX226" s="3"/>
      <c r="CY226" s="3"/>
      <c r="CZ226" s="3"/>
    </row>
    <row r="227" spans="1:104" ht="14.25" customHeight="1" x14ac:dyDescent="0.25">
      <c r="A227" s="3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3"/>
      <c r="CV227" s="3"/>
      <c r="CW227" s="3"/>
      <c r="CX227" s="3"/>
      <c r="CY227" s="3"/>
      <c r="CZ227" s="3"/>
    </row>
    <row r="228" spans="1:104" ht="14.25" customHeight="1" x14ac:dyDescent="0.25">
      <c r="A228" s="3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3"/>
      <c r="CV228" s="3"/>
      <c r="CW228" s="3"/>
      <c r="CX228" s="3"/>
      <c r="CY228" s="3"/>
      <c r="CZ228" s="3"/>
    </row>
    <row r="229" spans="1:104" ht="14.25" customHeight="1" x14ac:dyDescent="0.25">
      <c r="A229" s="3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3"/>
      <c r="CV229" s="3"/>
      <c r="CW229" s="3"/>
      <c r="CX229" s="3"/>
      <c r="CY229" s="3"/>
      <c r="CZ229" s="3"/>
    </row>
    <row r="230" spans="1:104" ht="14.25" customHeight="1" x14ac:dyDescent="0.25">
      <c r="A230" s="3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3"/>
      <c r="CV230" s="3"/>
      <c r="CW230" s="3"/>
      <c r="CX230" s="3"/>
      <c r="CY230" s="3"/>
      <c r="CZ230" s="3"/>
    </row>
    <row r="231" spans="1:104" ht="14.25" customHeight="1" x14ac:dyDescent="0.25">
      <c r="A231" s="3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3"/>
      <c r="CV231" s="3"/>
      <c r="CW231" s="3"/>
      <c r="CX231" s="3"/>
      <c r="CY231" s="3"/>
      <c r="CZ231" s="3"/>
    </row>
    <row r="232" spans="1:104" ht="14.25" customHeight="1" x14ac:dyDescent="0.25">
      <c r="A232" s="3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3"/>
      <c r="CV232" s="3"/>
      <c r="CW232" s="3"/>
      <c r="CX232" s="3"/>
      <c r="CY232" s="3"/>
      <c r="CZ232" s="3"/>
    </row>
    <row r="233" spans="1:104" ht="14.25" customHeight="1" x14ac:dyDescent="0.25">
      <c r="A233" s="3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3"/>
      <c r="CV233" s="3"/>
      <c r="CW233" s="3"/>
      <c r="CX233" s="3"/>
      <c r="CY233" s="3"/>
      <c r="CZ233" s="3"/>
    </row>
    <row r="234" spans="1:104" ht="14.25" customHeight="1" x14ac:dyDescent="0.25">
      <c r="A234" s="3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3"/>
      <c r="CV234" s="3"/>
      <c r="CW234" s="3"/>
      <c r="CX234" s="3"/>
      <c r="CY234" s="3"/>
      <c r="CZ234" s="3"/>
    </row>
    <row r="235" spans="1:104" ht="14.25" customHeight="1" x14ac:dyDescent="0.25">
      <c r="A235" s="3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3"/>
      <c r="CV235" s="3"/>
      <c r="CW235" s="3"/>
      <c r="CX235" s="3"/>
      <c r="CY235" s="3"/>
      <c r="CZ235" s="3"/>
    </row>
    <row r="236" spans="1:104" ht="14.25" customHeight="1" x14ac:dyDescent="0.25">
      <c r="A236" s="3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3"/>
      <c r="CV236" s="3"/>
      <c r="CW236" s="3"/>
      <c r="CX236" s="3"/>
      <c r="CY236" s="3"/>
      <c r="CZ236" s="3"/>
    </row>
    <row r="237" spans="1:104" ht="14.25" customHeight="1" x14ac:dyDescent="0.25">
      <c r="A237" s="3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3"/>
      <c r="CV237" s="3"/>
      <c r="CW237" s="3"/>
      <c r="CX237" s="3"/>
      <c r="CY237" s="3"/>
      <c r="CZ237" s="3"/>
    </row>
    <row r="238" spans="1:104" ht="14.25" customHeight="1" x14ac:dyDescent="0.25">
      <c r="A238" s="3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3"/>
      <c r="CV238" s="3"/>
      <c r="CW238" s="3"/>
      <c r="CX238" s="3"/>
      <c r="CY238" s="3"/>
      <c r="CZ238" s="3"/>
    </row>
    <row r="239" spans="1:104" ht="14.25" customHeight="1" x14ac:dyDescent="0.25">
      <c r="A239" s="3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3"/>
      <c r="CV239" s="3"/>
      <c r="CW239" s="3"/>
      <c r="CX239" s="3"/>
      <c r="CY239" s="3"/>
      <c r="CZ239" s="3"/>
    </row>
    <row r="240" spans="1:104" ht="14.25" customHeight="1" x14ac:dyDescent="0.25">
      <c r="A240" s="3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3"/>
      <c r="CV240" s="3"/>
      <c r="CW240" s="3"/>
      <c r="CX240" s="3"/>
      <c r="CY240" s="3"/>
      <c r="CZ240" s="3"/>
    </row>
    <row r="241" spans="1:104" ht="14.25" customHeight="1" x14ac:dyDescent="0.25">
      <c r="A241" s="3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3"/>
      <c r="CV241" s="3"/>
      <c r="CW241" s="3"/>
      <c r="CX241" s="3"/>
      <c r="CY241" s="3"/>
      <c r="CZ241" s="3"/>
    </row>
    <row r="242" spans="1:104" ht="14.25" customHeight="1" x14ac:dyDescent="0.25">
      <c r="A242" s="3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3"/>
      <c r="CV242" s="3"/>
      <c r="CW242" s="3"/>
      <c r="CX242" s="3"/>
      <c r="CY242" s="3"/>
      <c r="CZ242" s="3"/>
    </row>
    <row r="243" spans="1:104" ht="14.25" customHeight="1" x14ac:dyDescent="0.25">
      <c r="A243" s="3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3"/>
      <c r="CV243" s="3"/>
      <c r="CW243" s="3"/>
      <c r="CX243" s="3"/>
      <c r="CY243" s="3"/>
      <c r="CZ243" s="3"/>
    </row>
    <row r="244" spans="1:104" ht="14.25" customHeight="1" x14ac:dyDescent="0.25">
      <c r="A244" s="3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3"/>
      <c r="CV244" s="3"/>
      <c r="CW244" s="3"/>
      <c r="CX244" s="3"/>
      <c r="CY244" s="3"/>
      <c r="CZ244" s="3"/>
    </row>
    <row r="245" spans="1:104" ht="14.25" customHeight="1" x14ac:dyDescent="0.25">
      <c r="A245" s="3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3"/>
      <c r="CV245" s="3"/>
      <c r="CW245" s="3"/>
      <c r="CX245" s="3"/>
      <c r="CY245" s="3"/>
      <c r="CZ245" s="3"/>
    </row>
    <row r="246" spans="1:104" ht="14.25" customHeight="1" x14ac:dyDescent="0.25">
      <c r="A246" s="3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3"/>
      <c r="CV246" s="3"/>
      <c r="CW246" s="3"/>
      <c r="CX246" s="3"/>
      <c r="CY246" s="3"/>
      <c r="CZ246" s="3"/>
    </row>
    <row r="247" spans="1:104" ht="14.25" customHeight="1" x14ac:dyDescent="0.25">
      <c r="A247" s="3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3"/>
      <c r="CV247" s="3"/>
      <c r="CW247" s="3"/>
      <c r="CX247" s="3"/>
      <c r="CY247" s="3"/>
      <c r="CZ247" s="3"/>
    </row>
    <row r="248" spans="1:104" ht="14.25" customHeight="1" x14ac:dyDescent="0.25">
      <c r="A248" s="3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3"/>
      <c r="CV248" s="3"/>
      <c r="CW248" s="3"/>
      <c r="CX248" s="3"/>
      <c r="CY248" s="3"/>
      <c r="CZ248" s="3"/>
    </row>
    <row r="249" spans="1:104" ht="14.25" customHeight="1" x14ac:dyDescent="0.25">
      <c r="A249" s="3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3"/>
      <c r="CV249" s="3"/>
      <c r="CW249" s="3"/>
      <c r="CX249" s="3"/>
      <c r="CY249" s="3"/>
      <c r="CZ249" s="3"/>
    </row>
    <row r="250" spans="1:104" ht="14.25" customHeight="1" x14ac:dyDescent="0.25">
      <c r="A250" s="3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3"/>
      <c r="CV250" s="3"/>
      <c r="CW250" s="3"/>
      <c r="CX250" s="3"/>
      <c r="CY250" s="3"/>
      <c r="CZ250" s="3"/>
    </row>
    <row r="251" spans="1:104" ht="14.25" customHeight="1" x14ac:dyDescent="0.25">
      <c r="A251" s="3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3"/>
      <c r="CV251" s="3"/>
      <c r="CW251" s="3"/>
      <c r="CX251" s="3"/>
      <c r="CY251" s="3"/>
      <c r="CZ251" s="3"/>
    </row>
    <row r="252" spans="1:104" ht="14.25" customHeight="1" x14ac:dyDescent="0.25">
      <c r="A252" s="3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3"/>
      <c r="CV252" s="3"/>
      <c r="CW252" s="3"/>
      <c r="CX252" s="3"/>
      <c r="CY252" s="3"/>
      <c r="CZ252" s="3"/>
    </row>
    <row r="253" spans="1:104" ht="14.25" customHeight="1" x14ac:dyDescent="0.25">
      <c r="A253" s="3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3"/>
      <c r="CV253" s="3"/>
      <c r="CW253" s="3"/>
      <c r="CX253" s="3"/>
      <c r="CY253" s="3"/>
      <c r="CZ253" s="3"/>
    </row>
    <row r="254" spans="1:104" ht="14.25" customHeight="1" x14ac:dyDescent="0.25">
      <c r="A254" s="3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3"/>
      <c r="CV254" s="3"/>
      <c r="CW254" s="3"/>
      <c r="CX254" s="3"/>
      <c r="CY254" s="3"/>
      <c r="CZ254" s="3"/>
    </row>
    <row r="255" spans="1:104" ht="14.25" customHeight="1" x14ac:dyDescent="0.25">
      <c r="A255" s="3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3"/>
      <c r="CV255" s="3"/>
      <c r="CW255" s="3"/>
      <c r="CX255" s="3"/>
      <c r="CY255" s="3"/>
      <c r="CZ255" s="3"/>
    </row>
    <row r="256" spans="1:104" ht="14.25" customHeight="1" x14ac:dyDescent="0.25">
      <c r="A256" s="3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3"/>
      <c r="CV256" s="3"/>
      <c r="CW256" s="3"/>
      <c r="CX256" s="3"/>
      <c r="CY256" s="3"/>
      <c r="CZ256" s="3"/>
    </row>
    <row r="257" spans="1:104" ht="14.25" customHeight="1" x14ac:dyDescent="0.25">
      <c r="A257" s="3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3"/>
      <c r="CV257" s="3"/>
      <c r="CW257" s="3"/>
      <c r="CX257" s="3"/>
      <c r="CY257" s="3"/>
      <c r="CZ257" s="3"/>
    </row>
    <row r="258" spans="1:104" ht="14.25" customHeight="1" x14ac:dyDescent="0.25">
      <c r="A258" s="3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3"/>
      <c r="CV258" s="3"/>
      <c r="CW258" s="3"/>
      <c r="CX258" s="3"/>
      <c r="CY258" s="3"/>
      <c r="CZ258" s="3"/>
    </row>
    <row r="259" spans="1:104" ht="14.25" customHeight="1" x14ac:dyDescent="0.25">
      <c r="A259" s="3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3"/>
      <c r="CV259" s="3"/>
      <c r="CW259" s="3"/>
      <c r="CX259" s="3"/>
      <c r="CY259" s="3"/>
      <c r="CZ259" s="3"/>
    </row>
    <row r="260" spans="1:104" ht="14.25" customHeight="1" x14ac:dyDescent="0.25">
      <c r="A260" s="3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3"/>
      <c r="CV260" s="3"/>
      <c r="CW260" s="3"/>
      <c r="CX260" s="3"/>
      <c r="CY260" s="3"/>
      <c r="CZ260" s="3"/>
    </row>
    <row r="261" spans="1:104" ht="14.25" customHeight="1" x14ac:dyDescent="0.25">
      <c r="A261" s="3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3"/>
      <c r="CV261" s="3"/>
      <c r="CW261" s="3"/>
      <c r="CX261" s="3"/>
      <c r="CY261" s="3"/>
      <c r="CZ261" s="3"/>
    </row>
    <row r="262" spans="1:104" ht="14.25" customHeight="1" x14ac:dyDescent="0.25">
      <c r="A262" s="3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3"/>
      <c r="CV262" s="3"/>
      <c r="CW262" s="3"/>
      <c r="CX262" s="3"/>
      <c r="CY262" s="3"/>
      <c r="CZ262" s="3"/>
    </row>
    <row r="263" spans="1:104" ht="14.25" customHeight="1" x14ac:dyDescent="0.25">
      <c r="A263" s="3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3"/>
      <c r="CV263" s="3"/>
      <c r="CW263" s="3"/>
      <c r="CX263" s="3"/>
      <c r="CY263" s="3"/>
      <c r="CZ263" s="3"/>
    </row>
    <row r="264" spans="1:104" ht="14.25" customHeight="1" x14ac:dyDescent="0.25">
      <c r="A264" s="3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3"/>
      <c r="CV264" s="3"/>
      <c r="CW264" s="3"/>
      <c r="CX264" s="3"/>
      <c r="CY264" s="3"/>
      <c r="CZ264" s="3"/>
    </row>
    <row r="265" spans="1:104" ht="14.25" customHeight="1" x14ac:dyDescent="0.25">
      <c r="A265" s="3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3"/>
      <c r="CV265" s="3"/>
      <c r="CW265" s="3"/>
      <c r="CX265" s="3"/>
      <c r="CY265" s="3"/>
      <c r="CZ265" s="3"/>
    </row>
    <row r="266" spans="1:104" ht="14.25" customHeight="1" x14ac:dyDescent="0.25">
      <c r="A266" s="3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3"/>
      <c r="CV266" s="3"/>
      <c r="CW266" s="3"/>
      <c r="CX266" s="3"/>
      <c r="CY266" s="3"/>
      <c r="CZ266" s="3"/>
    </row>
    <row r="267" spans="1:104" ht="14.25" customHeight="1" x14ac:dyDescent="0.25">
      <c r="A267" s="3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3"/>
      <c r="CV267" s="3"/>
      <c r="CW267" s="3"/>
      <c r="CX267" s="3"/>
      <c r="CY267" s="3"/>
      <c r="CZ267" s="3"/>
    </row>
    <row r="268" spans="1:104" ht="14.25" customHeight="1" x14ac:dyDescent="0.25">
      <c r="A268" s="3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3"/>
      <c r="CV268" s="3"/>
      <c r="CW268" s="3"/>
      <c r="CX268" s="3"/>
      <c r="CY268" s="3"/>
      <c r="CZ268" s="3"/>
    </row>
    <row r="269" spans="1:104" ht="14.25" customHeight="1" x14ac:dyDescent="0.25">
      <c r="A269" s="3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3"/>
      <c r="CV269" s="3"/>
      <c r="CW269" s="3"/>
      <c r="CX269" s="3"/>
      <c r="CY269" s="3"/>
      <c r="CZ269" s="3"/>
    </row>
    <row r="270" spans="1:104" ht="14.25" customHeight="1" x14ac:dyDescent="0.25">
      <c r="A270" s="3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3"/>
      <c r="CV270" s="3"/>
      <c r="CW270" s="3"/>
      <c r="CX270" s="3"/>
      <c r="CY270" s="3"/>
      <c r="CZ270" s="3"/>
    </row>
    <row r="271" spans="1:104" ht="14.25" customHeight="1" x14ac:dyDescent="0.25">
      <c r="A271" s="3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3"/>
      <c r="CV271" s="3"/>
      <c r="CW271" s="3"/>
      <c r="CX271" s="3"/>
      <c r="CY271" s="3"/>
      <c r="CZ271" s="3"/>
    </row>
    <row r="272" spans="1:104" ht="14.25" customHeight="1" x14ac:dyDescent="0.25">
      <c r="A272" s="3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3"/>
      <c r="CV272" s="3"/>
      <c r="CW272" s="3"/>
      <c r="CX272" s="3"/>
      <c r="CY272" s="3"/>
      <c r="CZ272" s="3"/>
    </row>
    <row r="273" spans="1:104" ht="14.25" customHeight="1" x14ac:dyDescent="0.25">
      <c r="A273" s="3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3"/>
      <c r="CV273" s="3"/>
      <c r="CW273" s="3"/>
      <c r="CX273" s="3"/>
      <c r="CY273" s="3"/>
      <c r="CZ273" s="3"/>
    </row>
    <row r="274" spans="1:104" ht="14.25" customHeight="1" x14ac:dyDescent="0.25">
      <c r="A274" s="3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3"/>
      <c r="CV274" s="3"/>
      <c r="CW274" s="3"/>
      <c r="CX274" s="3"/>
      <c r="CY274" s="3"/>
      <c r="CZ274" s="3"/>
    </row>
    <row r="275" spans="1:104" ht="14.25" customHeight="1" x14ac:dyDescent="0.25">
      <c r="A275" s="3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3"/>
      <c r="CV275" s="3"/>
      <c r="CW275" s="3"/>
      <c r="CX275" s="3"/>
      <c r="CY275" s="3"/>
      <c r="CZ275" s="3"/>
    </row>
    <row r="276" spans="1:104" ht="14.25" customHeight="1" x14ac:dyDescent="0.25">
      <c r="A276" s="3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3"/>
      <c r="CV276" s="3"/>
      <c r="CW276" s="3"/>
      <c r="CX276" s="3"/>
      <c r="CY276" s="3"/>
      <c r="CZ276" s="3"/>
    </row>
    <row r="277" spans="1:104" ht="14.25" customHeight="1" x14ac:dyDescent="0.25">
      <c r="A277" s="3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3"/>
      <c r="CV277" s="3"/>
      <c r="CW277" s="3"/>
      <c r="CX277" s="3"/>
      <c r="CY277" s="3"/>
      <c r="CZ277" s="3"/>
    </row>
    <row r="278" spans="1:104" ht="14.25" customHeight="1" x14ac:dyDescent="0.25">
      <c r="A278" s="3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3"/>
      <c r="CV278" s="3"/>
      <c r="CW278" s="3"/>
      <c r="CX278" s="3"/>
      <c r="CY278" s="3"/>
      <c r="CZ278" s="3"/>
    </row>
    <row r="279" spans="1:104" ht="14.25" customHeight="1" x14ac:dyDescent="0.25">
      <c r="A279" s="3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3"/>
      <c r="CV279" s="3"/>
      <c r="CW279" s="3"/>
      <c r="CX279" s="3"/>
      <c r="CY279" s="3"/>
      <c r="CZ279" s="3"/>
    </row>
    <row r="280" spans="1:104" ht="14.25" customHeight="1" x14ac:dyDescent="0.25">
      <c r="A280" s="3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3"/>
      <c r="CV280" s="3"/>
      <c r="CW280" s="3"/>
      <c r="CX280" s="3"/>
      <c r="CY280" s="3"/>
      <c r="CZ280" s="3"/>
    </row>
    <row r="281" spans="1:104" ht="14.25" customHeight="1" x14ac:dyDescent="0.25">
      <c r="A281" s="3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3"/>
      <c r="CV281" s="3"/>
      <c r="CW281" s="3"/>
      <c r="CX281" s="3"/>
      <c r="CY281" s="3"/>
      <c r="CZ281" s="3"/>
    </row>
    <row r="282" spans="1:104" ht="14.25" customHeight="1" x14ac:dyDescent="0.25">
      <c r="A282" s="3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3"/>
      <c r="CV282" s="3"/>
      <c r="CW282" s="3"/>
      <c r="CX282" s="3"/>
      <c r="CY282" s="3"/>
      <c r="CZ282" s="3"/>
    </row>
    <row r="283" spans="1:104" ht="14.25" customHeight="1" x14ac:dyDescent="0.25">
      <c r="A283" s="3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3"/>
      <c r="CV283" s="3"/>
      <c r="CW283" s="3"/>
      <c r="CX283" s="3"/>
      <c r="CY283" s="3"/>
      <c r="CZ283" s="3"/>
    </row>
    <row r="284" spans="1:104" ht="14.25" customHeight="1" x14ac:dyDescent="0.25">
      <c r="A284" s="3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3"/>
      <c r="CV284" s="3"/>
      <c r="CW284" s="3"/>
      <c r="CX284" s="3"/>
      <c r="CY284" s="3"/>
      <c r="CZ284" s="3"/>
    </row>
    <row r="285" spans="1:104" ht="14.25" customHeight="1" x14ac:dyDescent="0.25">
      <c r="A285" s="3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3"/>
      <c r="CV285" s="3"/>
      <c r="CW285" s="3"/>
      <c r="CX285" s="3"/>
      <c r="CY285" s="3"/>
      <c r="CZ285" s="3"/>
    </row>
    <row r="286" spans="1:104" ht="14.25" customHeight="1" x14ac:dyDescent="0.25">
      <c r="A286" s="3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3"/>
      <c r="CV286" s="3"/>
      <c r="CW286" s="3"/>
      <c r="CX286" s="3"/>
      <c r="CY286" s="3"/>
      <c r="CZ286" s="3"/>
    </row>
    <row r="287" spans="1:104" ht="14.25" customHeight="1" x14ac:dyDescent="0.25">
      <c r="A287" s="3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3"/>
      <c r="CV287" s="3"/>
      <c r="CW287" s="3"/>
      <c r="CX287" s="3"/>
      <c r="CY287" s="3"/>
      <c r="CZ287" s="3"/>
    </row>
    <row r="288" spans="1:104" ht="14.25" customHeight="1" x14ac:dyDescent="0.25">
      <c r="A288" s="3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3"/>
      <c r="CV288" s="3"/>
      <c r="CW288" s="3"/>
      <c r="CX288" s="3"/>
      <c r="CY288" s="3"/>
      <c r="CZ288" s="3"/>
    </row>
    <row r="289" spans="1:104" ht="14.25" customHeight="1" x14ac:dyDescent="0.25">
      <c r="A289" s="3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3"/>
      <c r="CV289" s="3"/>
      <c r="CW289" s="3"/>
      <c r="CX289" s="3"/>
      <c r="CY289" s="3"/>
      <c r="CZ289" s="3"/>
    </row>
    <row r="290" spans="1:104" ht="14.25" customHeight="1" x14ac:dyDescent="0.25">
      <c r="A290" s="3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3"/>
      <c r="CV290" s="3"/>
      <c r="CW290" s="3"/>
      <c r="CX290" s="3"/>
      <c r="CY290" s="3"/>
      <c r="CZ290" s="3"/>
    </row>
    <row r="291" spans="1:104" ht="14.25" customHeight="1" x14ac:dyDescent="0.25">
      <c r="A291" s="3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3"/>
      <c r="CV291" s="3"/>
      <c r="CW291" s="3"/>
      <c r="CX291" s="3"/>
      <c r="CY291" s="3"/>
      <c r="CZ291" s="3"/>
    </row>
    <row r="292" spans="1:104" ht="14.25" customHeight="1" x14ac:dyDescent="0.25">
      <c r="A292" s="3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3"/>
      <c r="CV292" s="3"/>
      <c r="CW292" s="3"/>
      <c r="CX292" s="3"/>
      <c r="CY292" s="3"/>
      <c r="CZ292" s="3"/>
    </row>
    <row r="293" spans="1:104" ht="14.25" customHeight="1" x14ac:dyDescent="0.25">
      <c r="A293" s="3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3"/>
      <c r="CV293" s="3"/>
      <c r="CW293" s="3"/>
      <c r="CX293" s="3"/>
      <c r="CY293" s="3"/>
      <c r="CZ293" s="3"/>
    </row>
    <row r="294" spans="1:104" ht="14.25" customHeight="1" x14ac:dyDescent="0.25">
      <c r="A294" s="3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3"/>
      <c r="CV294" s="3"/>
      <c r="CW294" s="3"/>
      <c r="CX294" s="3"/>
      <c r="CY294" s="3"/>
      <c r="CZ294" s="3"/>
    </row>
    <row r="295" spans="1:104" ht="14.25" customHeight="1" x14ac:dyDescent="0.25">
      <c r="A295" s="3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3"/>
      <c r="CV295" s="3"/>
      <c r="CW295" s="3"/>
      <c r="CX295" s="3"/>
      <c r="CY295" s="3"/>
      <c r="CZ295" s="3"/>
    </row>
    <row r="296" spans="1:104" ht="14.25" customHeight="1" x14ac:dyDescent="0.25">
      <c r="A296" s="3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3"/>
      <c r="CV296" s="3"/>
      <c r="CW296" s="3"/>
      <c r="CX296" s="3"/>
      <c r="CY296" s="3"/>
      <c r="CZ296" s="3"/>
    </row>
    <row r="297" spans="1:104" ht="14.25" customHeight="1" x14ac:dyDescent="0.25">
      <c r="A297" s="3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3"/>
      <c r="CV297" s="3"/>
      <c r="CW297" s="3"/>
      <c r="CX297" s="3"/>
      <c r="CY297" s="3"/>
      <c r="CZ297" s="3"/>
    </row>
    <row r="298" spans="1:104" ht="14.25" customHeight="1" x14ac:dyDescent="0.25">
      <c r="A298" s="3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3"/>
      <c r="CV298" s="3"/>
      <c r="CW298" s="3"/>
      <c r="CX298" s="3"/>
      <c r="CY298" s="3"/>
      <c r="CZ298" s="3"/>
    </row>
    <row r="299" spans="1:104" ht="14.25" customHeight="1" x14ac:dyDescent="0.25">
      <c r="A299" s="3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3"/>
      <c r="CV299" s="3"/>
      <c r="CW299" s="3"/>
      <c r="CX299" s="3"/>
      <c r="CY299" s="3"/>
      <c r="CZ299" s="3"/>
    </row>
    <row r="300" spans="1:104" ht="14.25" customHeight="1" x14ac:dyDescent="0.25">
      <c r="A300" s="3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3"/>
      <c r="CV300" s="3"/>
      <c r="CW300" s="3"/>
      <c r="CX300" s="3"/>
      <c r="CY300" s="3"/>
      <c r="CZ300" s="3"/>
    </row>
    <row r="301" spans="1:104" ht="14.25" customHeight="1" x14ac:dyDescent="0.25">
      <c r="A301" s="3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3"/>
      <c r="CV301" s="3"/>
      <c r="CW301" s="3"/>
      <c r="CX301" s="3"/>
      <c r="CY301" s="3"/>
      <c r="CZ301" s="3"/>
    </row>
    <row r="302" spans="1:104" ht="14.25" customHeight="1" x14ac:dyDescent="0.25">
      <c r="A302" s="3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3"/>
      <c r="CV302" s="3"/>
      <c r="CW302" s="3"/>
      <c r="CX302" s="3"/>
      <c r="CY302" s="3"/>
      <c r="CZ302" s="3"/>
    </row>
    <row r="303" spans="1:104" ht="14.25" customHeight="1" x14ac:dyDescent="0.25">
      <c r="A303" s="3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3"/>
      <c r="CV303" s="3"/>
      <c r="CW303" s="3"/>
      <c r="CX303" s="3"/>
      <c r="CY303" s="3"/>
      <c r="CZ303" s="3"/>
    </row>
    <row r="304" spans="1:104" ht="14.25" customHeight="1" x14ac:dyDescent="0.25">
      <c r="A304" s="3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3"/>
      <c r="CV304" s="3"/>
      <c r="CW304" s="3"/>
      <c r="CX304" s="3"/>
      <c r="CY304" s="3"/>
      <c r="CZ304" s="3"/>
    </row>
    <row r="305" spans="1:104" ht="14.25" customHeight="1" x14ac:dyDescent="0.25">
      <c r="A305" s="3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3"/>
      <c r="CV305" s="3"/>
      <c r="CW305" s="3"/>
      <c r="CX305" s="3"/>
      <c r="CY305" s="3"/>
      <c r="CZ305" s="3"/>
    </row>
    <row r="306" spans="1:104" ht="14.25" customHeight="1" x14ac:dyDescent="0.25">
      <c r="A306" s="3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3"/>
      <c r="CV306" s="3"/>
      <c r="CW306" s="3"/>
      <c r="CX306" s="3"/>
      <c r="CY306" s="3"/>
      <c r="CZ306" s="3"/>
    </row>
    <row r="307" spans="1:104" ht="14.25" customHeight="1" x14ac:dyDescent="0.25">
      <c r="A307" s="3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3"/>
      <c r="CV307" s="3"/>
      <c r="CW307" s="3"/>
      <c r="CX307" s="3"/>
      <c r="CY307" s="3"/>
      <c r="CZ307" s="3"/>
    </row>
    <row r="308" spans="1:104" ht="14.25" customHeight="1" x14ac:dyDescent="0.25">
      <c r="A308" s="3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3"/>
      <c r="CV308" s="3"/>
      <c r="CW308" s="3"/>
      <c r="CX308" s="3"/>
      <c r="CY308" s="3"/>
      <c r="CZ308" s="3"/>
    </row>
    <row r="309" spans="1:104" ht="14.25" customHeight="1" x14ac:dyDescent="0.25">
      <c r="A309" s="3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3"/>
      <c r="CV309" s="3"/>
      <c r="CW309" s="3"/>
      <c r="CX309" s="3"/>
      <c r="CY309" s="3"/>
      <c r="CZ309" s="3"/>
    </row>
    <row r="310" spans="1:104" ht="14.25" customHeight="1" x14ac:dyDescent="0.25">
      <c r="A310" s="3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3"/>
      <c r="CV310" s="3"/>
      <c r="CW310" s="3"/>
      <c r="CX310" s="3"/>
      <c r="CY310" s="3"/>
      <c r="CZ310" s="3"/>
    </row>
    <row r="311" spans="1:104" ht="14.25" customHeight="1" x14ac:dyDescent="0.25">
      <c r="A311" s="3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3"/>
      <c r="CV311" s="3"/>
      <c r="CW311" s="3"/>
      <c r="CX311" s="3"/>
      <c r="CY311" s="3"/>
      <c r="CZ311" s="3"/>
    </row>
    <row r="312" spans="1:104" ht="14.25" customHeight="1" x14ac:dyDescent="0.25">
      <c r="A312" s="3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3"/>
      <c r="CV312" s="3"/>
      <c r="CW312" s="3"/>
      <c r="CX312" s="3"/>
      <c r="CY312" s="3"/>
      <c r="CZ312" s="3"/>
    </row>
    <row r="313" spans="1:104" ht="14.25" customHeight="1" x14ac:dyDescent="0.25">
      <c r="A313" s="3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3"/>
      <c r="CV313" s="3"/>
      <c r="CW313" s="3"/>
      <c r="CX313" s="3"/>
      <c r="CY313" s="3"/>
      <c r="CZ313" s="3"/>
    </row>
    <row r="314" spans="1:104" ht="14.25" customHeight="1" x14ac:dyDescent="0.25">
      <c r="A314" s="3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3"/>
      <c r="CV314" s="3"/>
      <c r="CW314" s="3"/>
      <c r="CX314" s="3"/>
      <c r="CY314" s="3"/>
      <c r="CZ314" s="3"/>
    </row>
    <row r="315" spans="1:104" ht="14.25" customHeight="1" x14ac:dyDescent="0.25">
      <c r="A315" s="3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3"/>
      <c r="CV315" s="3"/>
      <c r="CW315" s="3"/>
      <c r="CX315" s="3"/>
      <c r="CY315" s="3"/>
      <c r="CZ315" s="3"/>
    </row>
    <row r="316" spans="1:104" ht="14.25" customHeight="1" x14ac:dyDescent="0.25">
      <c r="A316" s="3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3"/>
      <c r="CV316" s="3"/>
      <c r="CW316" s="3"/>
      <c r="CX316" s="3"/>
      <c r="CY316" s="3"/>
      <c r="CZ316" s="3"/>
    </row>
    <row r="317" spans="1:104" ht="14.25" customHeight="1" x14ac:dyDescent="0.25">
      <c r="A317" s="3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3"/>
      <c r="CV317" s="3"/>
      <c r="CW317" s="3"/>
      <c r="CX317" s="3"/>
      <c r="CY317" s="3"/>
      <c r="CZ317" s="3"/>
    </row>
    <row r="318" spans="1:104" ht="14.25" customHeight="1" x14ac:dyDescent="0.25">
      <c r="A318" s="3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3"/>
      <c r="CV318" s="3"/>
      <c r="CW318" s="3"/>
      <c r="CX318" s="3"/>
      <c r="CY318" s="3"/>
      <c r="CZ318" s="3"/>
    </row>
    <row r="319" spans="1:104" ht="14.25" customHeight="1" x14ac:dyDescent="0.25">
      <c r="A319" s="3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3"/>
      <c r="CV319" s="3"/>
      <c r="CW319" s="3"/>
      <c r="CX319" s="3"/>
      <c r="CY319" s="3"/>
      <c r="CZ319" s="3"/>
    </row>
    <row r="320" spans="1:104" ht="14.25" customHeight="1" x14ac:dyDescent="0.25">
      <c r="A320" s="3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3"/>
      <c r="CV320" s="3"/>
      <c r="CW320" s="3"/>
      <c r="CX320" s="3"/>
      <c r="CY320" s="3"/>
      <c r="CZ320" s="3"/>
    </row>
    <row r="321" spans="1:104" ht="14.25" customHeight="1" x14ac:dyDescent="0.25">
      <c r="A321" s="3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3"/>
      <c r="CV321" s="3"/>
      <c r="CW321" s="3"/>
      <c r="CX321" s="3"/>
      <c r="CY321" s="3"/>
      <c r="CZ321" s="3"/>
    </row>
    <row r="322" spans="1:104" ht="14.25" customHeight="1" x14ac:dyDescent="0.25">
      <c r="A322" s="3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3"/>
      <c r="CV322" s="3"/>
      <c r="CW322" s="3"/>
      <c r="CX322" s="3"/>
      <c r="CY322" s="3"/>
      <c r="CZ322" s="3"/>
    </row>
    <row r="323" spans="1:104" ht="14.25" customHeight="1" x14ac:dyDescent="0.25">
      <c r="A323" s="3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3"/>
      <c r="CV323" s="3"/>
      <c r="CW323" s="3"/>
      <c r="CX323" s="3"/>
      <c r="CY323" s="3"/>
      <c r="CZ323" s="3"/>
    </row>
    <row r="324" spans="1:104" ht="14.25" customHeight="1" x14ac:dyDescent="0.25">
      <c r="A324" s="3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3"/>
      <c r="CV324" s="3"/>
      <c r="CW324" s="3"/>
      <c r="CX324" s="3"/>
      <c r="CY324" s="3"/>
      <c r="CZ324" s="3"/>
    </row>
    <row r="325" spans="1:104" ht="14.25" customHeight="1" x14ac:dyDescent="0.25">
      <c r="A325" s="3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3"/>
      <c r="CV325" s="3"/>
      <c r="CW325" s="3"/>
      <c r="CX325" s="3"/>
      <c r="CY325" s="3"/>
      <c r="CZ325" s="3"/>
    </row>
    <row r="326" spans="1:104" ht="14.25" customHeight="1" x14ac:dyDescent="0.25">
      <c r="A326" s="3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3"/>
      <c r="CV326" s="3"/>
      <c r="CW326" s="3"/>
      <c r="CX326" s="3"/>
      <c r="CY326" s="3"/>
      <c r="CZ326" s="3"/>
    </row>
    <row r="327" spans="1:104" ht="14.25" customHeight="1" x14ac:dyDescent="0.25">
      <c r="A327" s="3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3"/>
      <c r="CV327" s="3"/>
      <c r="CW327" s="3"/>
      <c r="CX327" s="3"/>
      <c r="CY327" s="3"/>
      <c r="CZ327" s="3"/>
    </row>
    <row r="328" spans="1:104" ht="14.25" customHeight="1" x14ac:dyDescent="0.25">
      <c r="A328" s="3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3"/>
      <c r="CV328" s="3"/>
      <c r="CW328" s="3"/>
      <c r="CX328" s="3"/>
      <c r="CY328" s="3"/>
      <c r="CZ328" s="3"/>
    </row>
    <row r="329" spans="1:104" ht="14.25" customHeight="1" x14ac:dyDescent="0.25">
      <c r="A329" s="3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3"/>
      <c r="CV329" s="3"/>
      <c r="CW329" s="3"/>
      <c r="CX329" s="3"/>
      <c r="CY329" s="3"/>
      <c r="CZ329" s="3"/>
    </row>
    <row r="330" spans="1:104" ht="14.25" customHeight="1" x14ac:dyDescent="0.25">
      <c r="A330" s="3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3"/>
      <c r="CV330" s="3"/>
      <c r="CW330" s="3"/>
      <c r="CX330" s="3"/>
      <c r="CY330" s="3"/>
      <c r="CZ330" s="3"/>
    </row>
    <row r="331" spans="1:104" ht="14.25" customHeight="1" x14ac:dyDescent="0.25">
      <c r="A331" s="3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3"/>
      <c r="CV331" s="3"/>
      <c r="CW331" s="3"/>
      <c r="CX331" s="3"/>
      <c r="CY331" s="3"/>
      <c r="CZ331" s="3"/>
    </row>
    <row r="332" spans="1:104" ht="14.25" customHeight="1" x14ac:dyDescent="0.25">
      <c r="A332" s="3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3"/>
      <c r="CV332" s="3"/>
      <c r="CW332" s="3"/>
      <c r="CX332" s="3"/>
      <c r="CY332" s="3"/>
      <c r="CZ332" s="3"/>
    </row>
    <row r="333" spans="1:104" ht="14.25" customHeight="1" x14ac:dyDescent="0.25">
      <c r="A333" s="3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3"/>
      <c r="CV333" s="3"/>
      <c r="CW333" s="3"/>
      <c r="CX333" s="3"/>
      <c r="CY333" s="3"/>
      <c r="CZ333" s="3"/>
    </row>
    <row r="334" spans="1:104" ht="14.25" customHeight="1" x14ac:dyDescent="0.25">
      <c r="A334" s="3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3"/>
      <c r="CV334" s="3"/>
      <c r="CW334" s="3"/>
      <c r="CX334" s="3"/>
      <c r="CY334" s="3"/>
      <c r="CZ334" s="3"/>
    </row>
    <row r="335" spans="1:104" ht="14.25" customHeight="1" x14ac:dyDescent="0.25">
      <c r="A335" s="3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3"/>
      <c r="CV335" s="3"/>
      <c r="CW335" s="3"/>
      <c r="CX335" s="3"/>
      <c r="CY335" s="3"/>
      <c r="CZ335" s="3"/>
    </row>
    <row r="336" spans="1:104" ht="14.25" customHeight="1" x14ac:dyDescent="0.25">
      <c r="A336" s="3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3"/>
      <c r="CV336" s="3"/>
      <c r="CW336" s="3"/>
      <c r="CX336" s="3"/>
      <c r="CY336" s="3"/>
      <c r="CZ336" s="3"/>
    </row>
    <row r="337" spans="1:104" ht="14.25" customHeight="1" x14ac:dyDescent="0.25">
      <c r="A337" s="3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3"/>
      <c r="CV337" s="3"/>
      <c r="CW337" s="3"/>
      <c r="CX337" s="3"/>
      <c r="CY337" s="3"/>
      <c r="CZ337" s="3"/>
    </row>
    <row r="338" spans="1:104" ht="14.25" customHeight="1" x14ac:dyDescent="0.25">
      <c r="A338" s="3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3"/>
      <c r="CV338" s="3"/>
      <c r="CW338" s="3"/>
      <c r="CX338" s="3"/>
      <c r="CY338" s="3"/>
      <c r="CZ338" s="3"/>
    </row>
    <row r="339" spans="1:104" ht="14.25" customHeight="1" x14ac:dyDescent="0.25">
      <c r="A339" s="3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3"/>
      <c r="CV339" s="3"/>
      <c r="CW339" s="3"/>
      <c r="CX339" s="3"/>
      <c r="CY339" s="3"/>
      <c r="CZ339" s="3"/>
    </row>
    <row r="340" spans="1:104" ht="14.25" customHeight="1" x14ac:dyDescent="0.25">
      <c r="A340" s="3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3"/>
      <c r="CV340" s="3"/>
      <c r="CW340" s="3"/>
      <c r="CX340" s="3"/>
      <c r="CY340" s="3"/>
      <c r="CZ340" s="3"/>
    </row>
    <row r="341" spans="1:104" ht="14.25" customHeight="1" x14ac:dyDescent="0.25">
      <c r="A341" s="3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3"/>
      <c r="CV341" s="3"/>
      <c r="CW341" s="3"/>
      <c r="CX341" s="3"/>
      <c r="CY341" s="3"/>
      <c r="CZ341" s="3"/>
    </row>
    <row r="342" spans="1:104" ht="14.25" customHeight="1" x14ac:dyDescent="0.25">
      <c r="A342" s="3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3"/>
      <c r="CV342" s="3"/>
      <c r="CW342" s="3"/>
      <c r="CX342" s="3"/>
      <c r="CY342" s="3"/>
      <c r="CZ342" s="3"/>
    </row>
    <row r="343" spans="1:104" ht="14.25" customHeight="1" x14ac:dyDescent="0.25">
      <c r="A343" s="3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3"/>
      <c r="CV343" s="3"/>
      <c r="CW343" s="3"/>
      <c r="CX343" s="3"/>
      <c r="CY343" s="3"/>
      <c r="CZ343" s="3"/>
    </row>
    <row r="344" spans="1:104" ht="14.25" customHeight="1" x14ac:dyDescent="0.25">
      <c r="A344" s="3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3"/>
      <c r="CV344" s="3"/>
      <c r="CW344" s="3"/>
      <c r="CX344" s="3"/>
      <c r="CY344" s="3"/>
      <c r="CZ344" s="3"/>
    </row>
    <row r="345" spans="1:104" ht="14.25" customHeight="1" x14ac:dyDescent="0.25">
      <c r="A345" s="3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3"/>
      <c r="CV345" s="3"/>
      <c r="CW345" s="3"/>
      <c r="CX345" s="3"/>
      <c r="CY345" s="3"/>
      <c r="CZ345" s="3"/>
    </row>
    <row r="346" spans="1:104" ht="14.25" customHeight="1" x14ac:dyDescent="0.25">
      <c r="A346" s="3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3"/>
      <c r="CV346" s="3"/>
      <c r="CW346" s="3"/>
      <c r="CX346" s="3"/>
      <c r="CY346" s="3"/>
      <c r="CZ346" s="3"/>
    </row>
    <row r="347" spans="1:104" ht="14.25" customHeight="1" x14ac:dyDescent="0.25">
      <c r="A347" s="3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3"/>
      <c r="CV347" s="3"/>
      <c r="CW347" s="3"/>
      <c r="CX347" s="3"/>
      <c r="CY347" s="3"/>
      <c r="CZ347" s="3"/>
    </row>
    <row r="348" spans="1:104" ht="14.25" customHeight="1" x14ac:dyDescent="0.25">
      <c r="A348" s="3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3"/>
      <c r="CV348" s="3"/>
      <c r="CW348" s="3"/>
      <c r="CX348" s="3"/>
      <c r="CY348" s="3"/>
      <c r="CZ348" s="3"/>
    </row>
    <row r="349" spans="1:104" ht="14.25" customHeight="1" x14ac:dyDescent="0.25">
      <c r="A349" s="3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3"/>
      <c r="CV349" s="3"/>
      <c r="CW349" s="3"/>
      <c r="CX349" s="3"/>
      <c r="CY349" s="3"/>
      <c r="CZ349" s="3"/>
    </row>
    <row r="350" spans="1:104" ht="14.25" customHeight="1" x14ac:dyDescent="0.25">
      <c r="A350" s="3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3"/>
      <c r="CV350" s="3"/>
      <c r="CW350" s="3"/>
      <c r="CX350" s="3"/>
      <c r="CY350" s="3"/>
      <c r="CZ350" s="3"/>
    </row>
    <row r="351" spans="1:104" ht="14.25" customHeight="1" x14ac:dyDescent="0.25">
      <c r="A351" s="3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3"/>
      <c r="CV351" s="3"/>
      <c r="CW351" s="3"/>
      <c r="CX351" s="3"/>
      <c r="CY351" s="3"/>
      <c r="CZ351" s="3"/>
    </row>
    <row r="352" spans="1:104" ht="14.25" customHeight="1" x14ac:dyDescent="0.25">
      <c r="A352" s="3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3"/>
      <c r="CV352" s="3"/>
      <c r="CW352" s="3"/>
      <c r="CX352" s="3"/>
      <c r="CY352" s="3"/>
      <c r="CZ352" s="3"/>
    </row>
    <row r="353" spans="1:104" ht="14.25" customHeight="1" x14ac:dyDescent="0.25">
      <c r="A353" s="3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3"/>
      <c r="CV353" s="3"/>
      <c r="CW353" s="3"/>
      <c r="CX353" s="3"/>
      <c r="CY353" s="3"/>
      <c r="CZ353" s="3"/>
    </row>
    <row r="354" spans="1:104" ht="14.25" customHeight="1" x14ac:dyDescent="0.25">
      <c r="A354" s="3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3"/>
      <c r="CV354" s="3"/>
      <c r="CW354" s="3"/>
      <c r="CX354" s="3"/>
      <c r="CY354" s="3"/>
      <c r="CZ354" s="3"/>
    </row>
    <row r="355" spans="1:104" ht="14.25" customHeight="1" x14ac:dyDescent="0.25">
      <c r="A355" s="3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3"/>
      <c r="CV355" s="3"/>
      <c r="CW355" s="3"/>
      <c r="CX355" s="3"/>
      <c r="CY355" s="3"/>
      <c r="CZ355" s="3"/>
    </row>
    <row r="356" spans="1:104" ht="14.25" customHeight="1" x14ac:dyDescent="0.25">
      <c r="A356" s="3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3"/>
      <c r="CV356" s="3"/>
      <c r="CW356" s="3"/>
      <c r="CX356" s="3"/>
      <c r="CY356" s="3"/>
      <c r="CZ356" s="3"/>
    </row>
    <row r="357" spans="1:104" ht="14.25" customHeight="1" x14ac:dyDescent="0.25">
      <c r="A357" s="3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3"/>
      <c r="CV357" s="3"/>
      <c r="CW357" s="3"/>
      <c r="CX357" s="3"/>
      <c r="CY357" s="3"/>
      <c r="CZ357" s="3"/>
    </row>
    <row r="358" spans="1:104" ht="14.25" customHeight="1" x14ac:dyDescent="0.25">
      <c r="A358" s="3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3"/>
      <c r="CV358" s="3"/>
      <c r="CW358" s="3"/>
      <c r="CX358" s="3"/>
      <c r="CY358" s="3"/>
      <c r="CZ358" s="3"/>
    </row>
    <row r="359" spans="1:104" ht="14.25" customHeight="1" x14ac:dyDescent="0.25">
      <c r="A359" s="3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3"/>
      <c r="CV359" s="3"/>
      <c r="CW359" s="3"/>
      <c r="CX359" s="3"/>
      <c r="CY359" s="3"/>
      <c r="CZ359" s="3"/>
    </row>
    <row r="360" spans="1:104" ht="14.25" customHeight="1" x14ac:dyDescent="0.25">
      <c r="A360" s="3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3"/>
      <c r="CV360" s="3"/>
      <c r="CW360" s="3"/>
      <c r="CX360" s="3"/>
      <c r="CY360" s="3"/>
      <c r="CZ360" s="3"/>
    </row>
    <row r="361" spans="1:104" ht="14.25" customHeight="1" x14ac:dyDescent="0.25">
      <c r="A361" s="3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3"/>
      <c r="CV361" s="3"/>
      <c r="CW361" s="3"/>
      <c r="CX361" s="3"/>
      <c r="CY361" s="3"/>
      <c r="CZ361" s="3"/>
    </row>
    <row r="362" spans="1:104" ht="14.25" customHeight="1" x14ac:dyDescent="0.25">
      <c r="A362" s="3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3"/>
      <c r="CV362" s="3"/>
      <c r="CW362" s="3"/>
      <c r="CX362" s="3"/>
      <c r="CY362" s="3"/>
      <c r="CZ362" s="3"/>
    </row>
    <row r="363" spans="1:104" ht="14.25" customHeight="1" x14ac:dyDescent="0.25">
      <c r="A363" s="3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3"/>
      <c r="CV363" s="3"/>
      <c r="CW363" s="3"/>
      <c r="CX363" s="3"/>
      <c r="CY363" s="3"/>
      <c r="CZ363" s="3"/>
    </row>
    <row r="364" spans="1:104" ht="14.25" customHeight="1" x14ac:dyDescent="0.25">
      <c r="A364" s="3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3"/>
      <c r="CV364" s="3"/>
      <c r="CW364" s="3"/>
      <c r="CX364" s="3"/>
      <c r="CY364" s="3"/>
      <c r="CZ364" s="3"/>
    </row>
    <row r="365" spans="1:104" ht="14.25" customHeight="1" x14ac:dyDescent="0.25">
      <c r="A365" s="3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3"/>
      <c r="CV365" s="3"/>
      <c r="CW365" s="3"/>
      <c r="CX365" s="3"/>
      <c r="CY365" s="3"/>
      <c r="CZ365" s="3"/>
    </row>
    <row r="366" spans="1:104" ht="14.25" customHeight="1" x14ac:dyDescent="0.25">
      <c r="A366" s="3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3"/>
      <c r="CV366" s="3"/>
      <c r="CW366" s="3"/>
      <c r="CX366" s="3"/>
      <c r="CY366" s="3"/>
      <c r="CZ366" s="3"/>
    </row>
    <row r="367" spans="1:104" ht="14.25" customHeight="1" x14ac:dyDescent="0.25">
      <c r="A367" s="3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3"/>
      <c r="CV367" s="3"/>
      <c r="CW367" s="3"/>
      <c r="CX367" s="3"/>
      <c r="CY367" s="3"/>
      <c r="CZ367" s="3"/>
    </row>
    <row r="368" spans="1:104" ht="14.25" customHeight="1" x14ac:dyDescent="0.25">
      <c r="A368" s="3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3"/>
      <c r="CV368" s="3"/>
      <c r="CW368" s="3"/>
      <c r="CX368" s="3"/>
      <c r="CY368" s="3"/>
      <c r="CZ368" s="3"/>
    </row>
    <row r="369" spans="1:104" ht="14.25" customHeight="1" x14ac:dyDescent="0.25">
      <c r="A369" s="3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3"/>
      <c r="CV369" s="3"/>
      <c r="CW369" s="3"/>
      <c r="CX369" s="3"/>
      <c r="CY369" s="3"/>
      <c r="CZ369" s="3"/>
    </row>
    <row r="370" spans="1:104" ht="14.25" customHeight="1" x14ac:dyDescent="0.25">
      <c r="A370" s="3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3"/>
      <c r="CV370" s="3"/>
      <c r="CW370" s="3"/>
      <c r="CX370" s="3"/>
      <c r="CY370" s="3"/>
      <c r="CZ370" s="3"/>
    </row>
    <row r="371" spans="1:104" ht="14.25" customHeight="1" x14ac:dyDescent="0.25">
      <c r="A371" s="3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3"/>
      <c r="CV371" s="3"/>
      <c r="CW371" s="3"/>
      <c r="CX371" s="3"/>
      <c r="CY371" s="3"/>
      <c r="CZ371" s="3"/>
    </row>
    <row r="372" spans="1:104" ht="14.25" customHeight="1" x14ac:dyDescent="0.25">
      <c r="A372" s="3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3"/>
      <c r="CV372" s="3"/>
      <c r="CW372" s="3"/>
      <c r="CX372" s="3"/>
      <c r="CY372" s="3"/>
      <c r="CZ372" s="3"/>
    </row>
    <row r="373" spans="1:104" ht="14.25" customHeight="1" x14ac:dyDescent="0.25">
      <c r="A373" s="3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3"/>
      <c r="CV373" s="3"/>
      <c r="CW373" s="3"/>
      <c r="CX373" s="3"/>
      <c r="CY373" s="3"/>
      <c r="CZ373" s="3"/>
    </row>
    <row r="374" spans="1:104" ht="14.25" customHeight="1" x14ac:dyDescent="0.25">
      <c r="A374" s="3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3"/>
      <c r="CV374" s="3"/>
      <c r="CW374" s="3"/>
      <c r="CX374" s="3"/>
      <c r="CY374" s="3"/>
      <c r="CZ374" s="3"/>
    </row>
    <row r="375" spans="1:104" ht="14.25" customHeight="1" x14ac:dyDescent="0.25">
      <c r="A375" s="3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3"/>
      <c r="CV375" s="3"/>
      <c r="CW375" s="3"/>
      <c r="CX375" s="3"/>
      <c r="CY375" s="3"/>
      <c r="CZ375" s="3"/>
    </row>
    <row r="376" spans="1:104" ht="14.25" customHeight="1" x14ac:dyDescent="0.25">
      <c r="A376" s="3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3"/>
      <c r="CV376" s="3"/>
      <c r="CW376" s="3"/>
      <c r="CX376" s="3"/>
      <c r="CY376" s="3"/>
      <c r="CZ376" s="3"/>
    </row>
    <row r="377" spans="1:104" ht="14.25" customHeight="1" x14ac:dyDescent="0.25">
      <c r="A377" s="3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3"/>
      <c r="CV377" s="3"/>
      <c r="CW377" s="3"/>
      <c r="CX377" s="3"/>
      <c r="CY377" s="3"/>
      <c r="CZ377" s="3"/>
    </row>
    <row r="378" spans="1:104" ht="14.25" customHeight="1" x14ac:dyDescent="0.25">
      <c r="A378" s="3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3"/>
      <c r="CV378" s="3"/>
      <c r="CW378" s="3"/>
      <c r="CX378" s="3"/>
      <c r="CY378" s="3"/>
      <c r="CZ378" s="3"/>
    </row>
    <row r="379" spans="1:104" ht="14.25" customHeight="1" x14ac:dyDescent="0.25">
      <c r="A379" s="3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3"/>
      <c r="CV379" s="3"/>
      <c r="CW379" s="3"/>
      <c r="CX379" s="3"/>
      <c r="CY379" s="3"/>
      <c r="CZ379" s="3"/>
    </row>
    <row r="380" spans="1:104" ht="14.25" customHeight="1" x14ac:dyDescent="0.25">
      <c r="A380" s="3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3"/>
      <c r="CV380" s="3"/>
      <c r="CW380" s="3"/>
      <c r="CX380" s="3"/>
      <c r="CY380" s="3"/>
      <c r="CZ380" s="3"/>
    </row>
    <row r="381" spans="1:104" ht="14.25" customHeight="1" x14ac:dyDescent="0.25">
      <c r="A381" s="3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3"/>
      <c r="CV381" s="3"/>
      <c r="CW381" s="3"/>
      <c r="CX381" s="3"/>
      <c r="CY381" s="3"/>
      <c r="CZ381" s="3"/>
    </row>
    <row r="382" spans="1:104" ht="14.25" customHeight="1" x14ac:dyDescent="0.25">
      <c r="A382" s="3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3"/>
      <c r="CV382" s="3"/>
      <c r="CW382" s="3"/>
      <c r="CX382" s="3"/>
      <c r="CY382" s="3"/>
      <c r="CZ382" s="3"/>
    </row>
    <row r="383" spans="1:104" ht="14.25" customHeight="1" x14ac:dyDescent="0.25">
      <c r="A383" s="3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3"/>
      <c r="CV383" s="3"/>
      <c r="CW383" s="3"/>
      <c r="CX383" s="3"/>
      <c r="CY383" s="3"/>
      <c r="CZ383" s="3"/>
    </row>
    <row r="384" spans="1:104" ht="14.25" customHeight="1" x14ac:dyDescent="0.25">
      <c r="A384" s="3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3"/>
      <c r="CV384" s="3"/>
      <c r="CW384" s="3"/>
      <c r="CX384" s="3"/>
      <c r="CY384" s="3"/>
      <c r="CZ384" s="3"/>
    </row>
    <row r="385" spans="1:104" ht="14.25" customHeight="1" x14ac:dyDescent="0.25">
      <c r="A385" s="3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3"/>
      <c r="CV385" s="3"/>
      <c r="CW385" s="3"/>
      <c r="CX385" s="3"/>
      <c r="CY385" s="3"/>
      <c r="CZ385" s="3"/>
    </row>
    <row r="386" spans="1:104" ht="14.25" customHeight="1" x14ac:dyDescent="0.25">
      <c r="A386" s="3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3"/>
      <c r="CV386" s="3"/>
      <c r="CW386" s="3"/>
      <c r="CX386" s="3"/>
      <c r="CY386" s="3"/>
      <c r="CZ386" s="3"/>
    </row>
    <row r="387" spans="1:104" ht="14.25" customHeight="1" x14ac:dyDescent="0.25">
      <c r="A387" s="3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3"/>
      <c r="CV387" s="3"/>
      <c r="CW387" s="3"/>
      <c r="CX387" s="3"/>
      <c r="CY387" s="3"/>
      <c r="CZ387" s="3"/>
    </row>
    <row r="388" spans="1:104" ht="14.25" customHeight="1" x14ac:dyDescent="0.25">
      <c r="A388" s="3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3"/>
      <c r="CV388" s="3"/>
      <c r="CW388" s="3"/>
      <c r="CX388" s="3"/>
      <c r="CY388" s="3"/>
      <c r="CZ388" s="3"/>
    </row>
    <row r="389" spans="1:104" ht="14.25" customHeight="1" x14ac:dyDescent="0.25">
      <c r="A389" s="3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3"/>
      <c r="CV389" s="3"/>
      <c r="CW389" s="3"/>
      <c r="CX389" s="3"/>
      <c r="CY389" s="3"/>
      <c r="CZ389" s="3"/>
    </row>
    <row r="390" spans="1:104" ht="14.25" customHeight="1" x14ac:dyDescent="0.25">
      <c r="A390" s="3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3"/>
      <c r="CV390" s="3"/>
      <c r="CW390" s="3"/>
      <c r="CX390" s="3"/>
      <c r="CY390" s="3"/>
      <c r="CZ390" s="3"/>
    </row>
    <row r="391" spans="1:104" ht="14.25" customHeight="1" x14ac:dyDescent="0.25">
      <c r="A391" s="3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3"/>
      <c r="CV391" s="3"/>
      <c r="CW391" s="3"/>
      <c r="CX391" s="3"/>
      <c r="CY391" s="3"/>
      <c r="CZ391" s="3"/>
    </row>
    <row r="392" spans="1:104" ht="14.25" customHeight="1" x14ac:dyDescent="0.25">
      <c r="A392" s="3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3"/>
      <c r="CV392" s="3"/>
      <c r="CW392" s="3"/>
      <c r="CX392" s="3"/>
      <c r="CY392" s="3"/>
      <c r="CZ392" s="3"/>
    </row>
    <row r="393" spans="1:104" ht="14.25" customHeight="1" x14ac:dyDescent="0.25">
      <c r="A393" s="3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3"/>
      <c r="CV393" s="3"/>
      <c r="CW393" s="3"/>
      <c r="CX393" s="3"/>
      <c r="CY393" s="3"/>
      <c r="CZ393" s="3"/>
    </row>
    <row r="394" spans="1:104" ht="14.25" customHeight="1" x14ac:dyDescent="0.25">
      <c r="A394" s="3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3"/>
      <c r="CV394" s="3"/>
      <c r="CW394" s="3"/>
      <c r="CX394" s="3"/>
      <c r="CY394" s="3"/>
      <c r="CZ394" s="3"/>
    </row>
    <row r="395" spans="1:104" ht="14.25" customHeight="1" x14ac:dyDescent="0.25">
      <c r="A395" s="3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3"/>
      <c r="CV395" s="3"/>
      <c r="CW395" s="3"/>
      <c r="CX395" s="3"/>
      <c r="CY395" s="3"/>
      <c r="CZ395" s="3"/>
    </row>
    <row r="396" spans="1:104" ht="14.25" customHeight="1" x14ac:dyDescent="0.25">
      <c r="A396" s="3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3"/>
      <c r="CV396" s="3"/>
      <c r="CW396" s="3"/>
      <c r="CX396" s="3"/>
      <c r="CY396" s="3"/>
      <c r="CZ396" s="3"/>
    </row>
    <row r="397" spans="1:104" ht="14.25" customHeight="1" x14ac:dyDescent="0.25">
      <c r="A397" s="3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3"/>
      <c r="CV397" s="3"/>
      <c r="CW397" s="3"/>
      <c r="CX397" s="3"/>
      <c r="CY397" s="3"/>
      <c r="CZ397" s="3"/>
    </row>
    <row r="398" spans="1:104" ht="14.25" customHeight="1" x14ac:dyDescent="0.25">
      <c r="A398" s="3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3"/>
      <c r="CV398" s="3"/>
      <c r="CW398" s="3"/>
      <c r="CX398" s="3"/>
      <c r="CY398" s="3"/>
      <c r="CZ398" s="3"/>
    </row>
    <row r="399" spans="1:104" ht="14.25" customHeight="1" x14ac:dyDescent="0.25">
      <c r="A399" s="3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3"/>
      <c r="CV399" s="3"/>
      <c r="CW399" s="3"/>
      <c r="CX399" s="3"/>
      <c r="CY399" s="3"/>
      <c r="CZ399" s="3"/>
    </row>
    <row r="400" spans="1:104" ht="14.25" customHeight="1" x14ac:dyDescent="0.25">
      <c r="A400" s="3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3"/>
      <c r="CV400" s="3"/>
      <c r="CW400" s="3"/>
      <c r="CX400" s="3"/>
      <c r="CY400" s="3"/>
      <c r="CZ400" s="3"/>
    </row>
    <row r="401" spans="1:104" ht="14.25" customHeight="1" x14ac:dyDescent="0.25">
      <c r="A401" s="3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3"/>
      <c r="CV401" s="3"/>
      <c r="CW401" s="3"/>
      <c r="CX401" s="3"/>
      <c r="CY401" s="3"/>
      <c r="CZ401" s="3"/>
    </row>
    <row r="402" spans="1:104" ht="14.25" customHeight="1" x14ac:dyDescent="0.25">
      <c r="A402" s="3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3"/>
      <c r="CV402" s="3"/>
      <c r="CW402" s="3"/>
      <c r="CX402" s="3"/>
      <c r="CY402" s="3"/>
      <c r="CZ402" s="3"/>
    </row>
    <row r="403" spans="1:104" ht="14.25" customHeight="1" x14ac:dyDescent="0.25">
      <c r="A403" s="3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3"/>
      <c r="CV403" s="3"/>
      <c r="CW403" s="3"/>
      <c r="CX403" s="3"/>
      <c r="CY403" s="3"/>
      <c r="CZ403" s="3"/>
    </row>
    <row r="404" spans="1:104" ht="14.25" customHeight="1" x14ac:dyDescent="0.25">
      <c r="A404" s="3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3"/>
      <c r="CV404" s="3"/>
      <c r="CW404" s="3"/>
      <c r="CX404" s="3"/>
      <c r="CY404" s="3"/>
      <c r="CZ404" s="3"/>
    </row>
    <row r="405" spans="1:104" ht="14.25" customHeight="1" x14ac:dyDescent="0.25">
      <c r="A405" s="3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3"/>
      <c r="CV405" s="3"/>
      <c r="CW405" s="3"/>
      <c r="CX405" s="3"/>
      <c r="CY405" s="3"/>
      <c r="CZ405" s="3"/>
    </row>
    <row r="406" spans="1:104" ht="14.25" customHeight="1" x14ac:dyDescent="0.25">
      <c r="A406" s="3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3"/>
      <c r="CV406" s="3"/>
      <c r="CW406" s="3"/>
      <c r="CX406" s="3"/>
      <c r="CY406" s="3"/>
      <c r="CZ406" s="3"/>
    </row>
    <row r="407" spans="1:104" ht="14.25" customHeight="1" x14ac:dyDescent="0.25">
      <c r="A407" s="3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3"/>
      <c r="CV407" s="3"/>
      <c r="CW407" s="3"/>
      <c r="CX407" s="3"/>
      <c r="CY407" s="3"/>
      <c r="CZ407" s="3"/>
    </row>
    <row r="408" spans="1:104" ht="14.25" customHeight="1" x14ac:dyDescent="0.25">
      <c r="A408" s="3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3"/>
      <c r="CV408" s="3"/>
      <c r="CW408" s="3"/>
      <c r="CX408" s="3"/>
      <c r="CY408" s="3"/>
      <c r="CZ408" s="3"/>
    </row>
    <row r="409" spans="1:104" ht="14.25" customHeight="1" x14ac:dyDescent="0.25">
      <c r="A409" s="3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3"/>
      <c r="CV409" s="3"/>
      <c r="CW409" s="3"/>
      <c r="CX409" s="3"/>
      <c r="CY409" s="3"/>
      <c r="CZ409" s="3"/>
    </row>
    <row r="410" spans="1:104" ht="14.25" customHeight="1" x14ac:dyDescent="0.25">
      <c r="A410" s="3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3"/>
      <c r="CV410" s="3"/>
      <c r="CW410" s="3"/>
      <c r="CX410" s="3"/>
      <c r="CY410" s="3"/>
      <c r="CZ410" s="3"/>
    </row>
    <row r="411" spans="1:104" ht="14.25" customHeight="1" x14ac:dyDescent="0.25">
      <c r="A411" s="3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3"/>
      <c r="CV411" s="3"/>
      <c r="CW411" s="3"/>
      <c r="CX411" s="3"/>
      <c r="CY411" s="3"/>
      <c r="CZ411" s="3"/>
    </row>
    <row r="412" spans="1:104" ht="14.25" customHeight="1" x14ac:dyDescent="0.25">
      <c r="A412" s="3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3"/>
      <c r="CV412" s="3"/>
      <c r="CW412" s="3"/>
      <c r="CX412" s="3"/>
      <c r="CY412" s="3"/>
      <c r="CZ412" s="3"/>
    </row>
    <row r="413" spans="1:104" ht="14.25" customHeight="1" x14ac:dyDescent="0.25">
      <c r="A413" s="3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3"/>
      <c r="CV413" s="3"/>
      <c r="CW413" s="3"/>
      <c r="CX413" s="3"/>
      <c r="CY413" s="3"/>
      <c r="CZ413" s="3"/>
    </row>
    <row r="414" spans="1:104" ht="14.25" customHeight="1" x14ac:dyDescent="0.25">
      <c r="A414" s="3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3"/>
      <c r="CV414" s="3"/>
      <c r="CW414" s="3"/>
      <c r="CX414" s="3"/>
      <c r="CY414" s="3"/>
      <c r="CZ414" s="3"/>
    </row>
    <row r="415" spans="1:104" ht="14.25" customHeight="1" x14ac:dyDescent="0.25">
      <c r="A415" s="3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3"/>
      <c r="CV415" s="3"/>
      <c r="CW415" s="3"/>
      <c r="CX415" s="3"/>
      <c r="CY415" s="3"/>
      <c r="CZ415" s="3"/>
    </row>
    <row r="416" spans="1:104" ht="14.25" customHeight="1" x14ac:dyDescent="0.25">
      <c r="A416" s="3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3"/>
      <c r="CV416" s="3"/>
      <c r="CW416" s="3"/>
      <c r="CX416" s="3"/>
      <c r="CY416" s="3"/>
      <c r="CZ416" s="3"/>
    </row>
    <row r="417" spans="1:104" ht="14.25" customHeight="1" x14ac:dyDescent="0.25">
      <c r="A417" s="3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3"/>
      <c r="CV417" s="3"/>
      <c r="CW417" s="3"/>
      <c r="CX417" s="3"/>
      <c r="CY417" s="3"/>
      <c r="CZ417" s="3"/>
    </row>
    <row r="418" spans="1:104" ht="14.25" customHeight="1" x14ac:dyDescent="0.25">
      <c r="A418" s="3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3"/>
      <c r="CV418" s="3"/>
      <c r="CW418" s="3"/>
      <c r="CX418" s="3"/>
      <c r="CY418" s="3"/>
      <c r="CZ418" s="3"/>
    </row>
    <row r="419" spans="1:104" ht="14.25" customHeight="1" x14ac:dyDescent="0.25">
      <c r="A419" s="3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3"/>
      <c r="CV419" s="3"/>
      <c r="CW419" s="3"/>
      <c r="CX419" s="3"/>
      <c r="CY419" s="3"/>
      <c r="CZ419" s="3"/>
    </row>
    <row r="420" spans="1:104" ht="14.25" customHeight="1" x14ac:dyDescent="0.25">
      <c r="A420" s="3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3"/>
      <c r="CV420" s="3"/>
      <c r="CW420" s="3"/>
      <c r="CX420" s="3"/>
      <c r="CY420" s="3"/>
      <c r="CZ420" s="3"/>
    </row>
    <row r="421" spans="1:104" ht="14.25" customHeight="1" x14ac:dyDescent="0.25">
      <c r="A421" s="3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3"/>
      <c r="CV421" s="3"/>
      <c r="CW421" s="3"/>
      <c r="CX421" s="3"/>
      <c r="CY421" s="3"/>
      <c r="CZ421" s="3"/>
    </row>
    <row r="422" spans="1:104" ht="14.25" customHeight="1" x14ac:dyDescent="0.25">
      <c r="A422" s="3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3"/>
      <c r="CV422" s="3"/>
      <c r="CW422" s="3"/>
      <c r="CX422" s="3"/>
      <c r="CY422" s="3"/>
      <c r="CZ422" s="3"/>
    </row>
    <row r="423" spans="1:104" ht="14.25" customHeight="1" x14ac:dyDescent="0.25">
      <c r="A423" s="3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3"/>
      <c r="CV423" s="3"/>
      <c r="CW423" s="3"/>
      <c r="CX423" s="3"/>
      <c r="CY423" s="3"/>
      <c r="CZ423" s="3"/>
    </row>
    <row r="424" spans="1:104" ht="14.25" customHeight="1" x14ac:dyDescent="0.25">
      <c r="A424" s="3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3"/>
      <c r="CV424" s="3"/>
      <c r="CW424" s="3"/>
      <c r="CX424" s="3"/>
      <c r="CY424" s="3"/>
      <c r="CZ424" s="3"/>
    </row>
    <row r="425" spans="1:104" ht="14.25" customHeight="1" x14ac:dyDescent="0.25">
      <c r="A425" s="3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3"/>
      <c r="CV425" s="3"/>
      <c r="CW425" s="3"/>
      <c r="CX425" s="3"/>
      <c r="CY425" s="3"/>
      <c r="CZ425" s="3"/>
    </row>
    <row r="426" spans="1:104" ht="14.25" customHeight="1" x14ac:dyDescent="0.25">
      <c r="A426" s="3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3"/>
      <c r="CV426" s="3"/>
      <c r="CW426" s="3"/>
      <c r="CX426" s="3"/>
      <c r="CY426" s="3"/>
      <c r="CZ426" s="3"/>
    </row>
    <row r="427" spans="1:104" ht="14.25" customHeight="1" x14ac:dyDescent="0.25">
      <c r="A427" s="3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3"/>
      <c r="CV427" s="3"/>
      <c r="CW427" s="3"/>
      <c r="CX427" s="3"/>
      <c r="CY427" s="3"/>
      <c r="CZ427" s="3"/>
    </row>
    <row r="428" spans="1:104" ht="14.25" customHeight="1" x14ac:dyDescent="0.25">
      <c r="A428" s="3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3"/>
      <c r="CV428" s="3"/>
      <c r="CW428" s="3"/>
      <c r="CX428" s="3"/>
      <c r="CY428" s="3"/>
      <c r="CZ428" s="3"/>
    </row>
    <row r="429" spans="1:104" ht="14.25" customHeight="1" x14ac:dyDescent="0.25">
      <c r="A429" s="3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3"/>
      <c r="CV429" s="3"/>
      <c r="CW429" s="3"/>
      <c r="CX429" s="3"/>
      <c r="CY429" s="3"/>
      <c r="CZ429" s="3"/>
    </row>
    <row r="430" spans="1:104" ht="14.25" customHeight="1" x14ac:dyDescent="0.25">
      <c r="A430" s="3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3"/>
      <c r="CV430" s="3"/>
      <c r="CW430" s="3"/>
      <c r="CX430" s="3"/>
      <c r="CY430" s="3"/>
      <c r="CZ430" s="3"/>
    </row>
    <row r="431" spans="1:104" ht="14.25" customHeight="1" x14ac:dyDescent="0.25">
      <c r="A431" s="3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3"/>
      <c r="CV431" s="3"/>
      <c r="CW431" s="3"/>
      <c r="CX431" s="3"/>
      <c r="CY431" s="3"/>
      <c r="CZ431" s="3"/>
    </row>
    <row r="432" spans="1:104" ht="14.25" customHeight="1" x14ac:dyDescent="0.25">
      <c r="A432" s="3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3"/>
      <c r="CV432" s="3"/>
      <c r="CW432" s="3"/>
      <c r="CX432" s="3"/>
      <c r="CY432" s="3"/>
      <c r="CZ432" s="3"/>
    </row>
    <row r="433" spans="1:104" ht="14.25" customHeight="1" x14ac:dyDescent="0.25">
      <c r="A433" s="3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3"/>
      <c r="CV433" s="3"/>
      <c r="CW433" s="3"/>
      <c r="CX433" s="3"/>
      <c r="CY433" s="3"/>
      <c r="CZ433" s="3"/>
    </row>
    <row r="434" spans="1:104" ht="14.25" customHeight="1" x14ac:dyDescent="0.25">
      <c r="A434" s="3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3"/>
      <c r="CV434" s="3"/>
      <c r="CW434" s="3"/>
      <c r="CX434" s="3"/>
      <c r="CY434" s="3"/>
      <c r="CZ434" s="3"/>
    </row>
    <row r="435" spans="1:104" ht="14.25" customHeight="1" x14ac:dyDescent="0.25">
      <c r="A435" s="3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3"/>
      <c r="CV435" s="3"/>
      <c r="CW435" s="3"/>
      <c r="CX435" s="3"/>
      <c r="CY435" s="3"/>
      <c r="CZ435" s="3"/>
    </row>
    <row r="436" spans="1:104" ht="14.25" customHeight="1" x14ac:dyDescent="0.25">
      <c r="A436" s="3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3"/>
      <c r="CV436" s="3"/>
      <c r="CW436" s="3"/>
      <c r="CX436" s="3"/>
      <c r="CY436" s="3"/>
      <c r="CZ436" s="3"/>
    </row>
    <row r="437" spans="1:104" ht="14.25" customHeight="1" x14ac:dyDescent="0.25">
      <c r="A437" s="3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3"/>
      <c r="CV437" s="3"/>
      <c r="CW437" s="3"/>
      <c r="CX437" s="3"/>
      <c r="CY437" s="3"/>
      <c r="CZ437" s="3"/>
    </row>
    <row r="438" spans="1:104" ht="14.25" customHeight="1" x14ac:dyDescent="0.25">
      <c r="A438" s="3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3"/>
      <c r="CV438" s="3"/>
      <c r="CW438" s="3"/>
      <c r="CX438" s="3"/>
      <c r="CY438" s="3"/>
      <c r="CZ438" s="3"/>
    </row>
    <row r="439" spans="1:104" ht="14.25" customHeight="1" x14ac:dyDescent="0.25">
      <c r="A439" s="3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3"/>
      <c r="CV439" s="3"/>
      <c r="CW439" s="3"/>
      <c r="CX439" s="3"/>
      <c r="CY439" s="3"/>
      <c r="CZ439" s="3"/>
    </row>
    <row r="440" spans="1:104" ht="14.25" customHeight="1" x14ac:dyDescent="0.25">
      <c r="A440" s="3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3"/>
      <c r="CV440" s="3"/>
      <c r="CW440" s="3"/>
      <c r="CX440" s="3"/>
      <c r="CY440" s="3"/>
      <c r="CZ440" s="3"/>
    </row>
    <row r="441" spans="1:104" ht="14.25" customHeight="1" x14ac:dyDescent="0.25">
      <c r="A441" s="3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3"/>
      <c r="CV441" s="3"/>
      <c r="CW441" s="3"/>
      <c r="CX441" s="3"/>
      <c r="CY441" s="3"/>
      <c r="CZ441" s="3"/>
    </row>
    <row r="442" spans="1:104" ht="14.25" customHeight="1" x14ac:dyDescent="0.25">
      <c r="A442" s="3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3"/>
      <c r="CV442" s="3"/>
      <c r="CW442" s="3"/>
      <c r="CX442" s="3"/>
      <c r="CY442" s="3"/>
      <c r="CZ442" s="3"/>
    </row>
    <row r="443" spans="1:104" ht="14.25" customHeight="1" x14ac:dyDescent="0.25">
      <c r="A443" s="3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3"/>
      <c r="CV443" s="3"/>
      <c r="CW443" s="3"/>
      <c r="CX443" s="3"/>
      <c r="CY443" s="3"/>
      <c r="CZ443" s="3"/>
    </row>
    <row r="444" spans="1:104" ht="14.25" customHeight="1" x14ac:dyDescent="0.25">
      <c r="A444" s="3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3"/>
      <c r="CV444" s="3"/>
      <c r="CW444" s="3"/>
      <c r="CX444" s="3"/>
      <c r="CY444" s="3"/>
      <c r="CZ444" s="3"/>
    </row>
    <row r="445" spans="1:104" ht="14.25" customHeight="1" x14ac:dyDescent="0.25">
      <c r="A445" s="3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3"/>
      <c r="CV445" s="3"/>
      <c r="CW445" s="3"/>
      <c r="CX445" s="3"/>
      <c r="CY445" s="3"/>
      <c r="CZ445" s="3"/>
    </row>
    <row r="446" spans="1:104" ht="14.25" customHeight="1" x14ac:dyDescent="0.25">
      <c r="A446" s="3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3"/>
      <c r="CV446" s="3"/>
      <c r="CW446" s="3"/>
      <c r="CX446" s="3"/>
      <c r="CY446" s="3"/>
      <c r="CZ446" s="3"/>
    </row>
    <row r="447" spans="1:104" ht="14.25" customHeight="1" x14ac:dyDescent="0.25">
      <c r="A447" s="3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3"/>
      <c r="CV447" s="3"/>
      <c r="CW447" s="3"/>
      <c r="CX447" s="3"/>
      <c r="CY447" s="3"/>
      <c r="CZ447" s="3"/>
    </row>
    <row r="448" spans="1:104" ht="14.25" customHeight="1" x14ac:dyDescent="0.25">
      <c r="A448" s="3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3"/>
      <c r="CV448" s="3"/>
      <c r="CW448" s="3"/>
      <c r="CX448" s="3"/>
      <c r="CY448" s="3"/>
      <c r="CZ448" s="3"/>
    </row>
    <row r="449" spans="1:104" ht="14.25" customHeight="1" x14ac:dyDescent="0.25">
      <c r="A449" s="3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3"/>
      <c r="CV449" s="3"/>
      <c r="CW449" s="3"/>
      <c r="CX449" s="3"/>
      <c r="CY449" s="3"/>
      <c r="CZ449" s="3"/>
    </row>
    <row r="450" spans="1:104" ht="14.25" customHeight="1" x14ac:dyDescent="0.25">
      <c r="A450" s="3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3"/>
      <c r="CV450" s="3"/>
      <c r="CW450" s="3"/>
      <c r="CX450" s="3"/>
      <c r="CY450" s="3"/>
      <c r="CZ450" s="3"/>
    </row>
    <row r="451" spans="1:104" ht="14.25" customHeight="1" x14ac:dyDescent="0.25">
      <c r="A451" s="3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3"/>
      <c r="CV451" s="3"/>
      <c r="CW451" s="3"/>
      <c r="CX451" s="3"/>
      <c r="CY451" s="3"/>
      <c r="CZ451" s="3"/>
    </row>
    <row r="452" spans="1:104" ht="14.25" customHeight="1" x14ac:dyDescent="0.25">
      <c r="A452" s="3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3"/>
      <c r="CV452" s="3"/>
      <c r="CW452" s="3"/>
      <c r="CX452" s="3"/>
      <c r="CY452" s="3"/>
      <c r="CZ452" s="3"/>
    </row>
    <row r="453" spans="1:104" ht="14.25" customHeight="1" x14ac:dyDescent="0.25">
      <c r="A453" s="3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3"/>
      <c r="CV453" s="3"/>
      <c r="CW453" s="3"/>
      <c r="CX453" s="3"/>
      <c r="CY453" s="3"/>
      <c r="CZ453" s="3"/>
    </row>
    <row r="454" spans="1:104" ht="14.25" customHeight="1" x14ac:dyDescent="0.25">
      <c r="A454" s="3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3"/>
      <c r="CV454" s="3"/>
      <c r="CW454" s="3"/>
      <c r="CX454" s="3"/>
      <c r="CY454" s="3"/>
      <c r="CZ454" s="3"/>
    </row>
    <row r="455" spans="1:104" ht="14.25" customHeight="1" x14ac:dyDescent="0.25">
      <c r="A455" s="3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3"/>
      <c r="CV455" s="3"/>
      <c r="CW455" s="3"/>
      <c r="CX455" s="3"/>
      <c r="CY455" s="3"/>
      <c r="CZ455" s="3"/>
    </row>
    <row r="456" spans="1:104" ht="14.25" customHeight="1" x14ac:dyDescent="0.25">
      <c r="A456" s="3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3"/>
      <c r="CV456" s="3"/>
      <c r="CW456" s="3"/>
      <c r="CX456" s="3"/>
      <c r="CY456" s="3"/>
      <c r="CZ456" s="3"/>
    </row>
    <row r="457" spans="1:104" ht="14.25" customHeight="1" x14ac:dyDescent="0.25">
      <c r="A457" s="3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3"/>
      <c r="CV457" s="3"/>
      <c r="CW457" s="3"/>
      <c r="CX457" s="3"/>
      <c r="CY457" s="3"/>
      <c r="CZ457" s="3"/>
    </row>
    <row r="458" spans="1:104" ht="14.25" customHeight="1" x14ac:dyDescent="0.25">
      <c r="A458" s="3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3"/>
      <c r="CV458" s="3"/>
      <c r="CW458" s="3"/>
      <c r="CX458" s="3"/>
      <c r="CY458" s="3"/>
      <c r="CZ458" s="3"/>
    </row>
    <row r="459" spans="1:104" ht="14.25" customHeight="1" x14ac:dyDescent="0.25">
      <c r="A459" s="3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3"/>
      <c r="CV459" s="3"/>
      <c r="CW459" s="3"/>
      <c r="CX459" s="3"/>
      <c r="CY459" s="3"/>
      <c r="CZ459" s="3"/>
    </row>
    <row r="460" spans="1:104" ht="14.25" customHeight="1" x14ac:dyDescent="0.25">
      <c r="A460" s="3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3"/>
      <c r="CV460" s="3"/>
      <c r="CW460" s="3"/>
      <c r="CX460" s="3"/>
      <c r="CY460" s="3"/>
      <c r="CZ460" s="3"/>
    </row>
    <row r="461" spans="1:104" ht="14.25" customHeight="1" x14ac:dyDescent="0.25">
      <c r="A461" s="3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3"/>
      <c r="CV461" s="3"/>
      <c r="CW461" s="3"/>
      <c r="CX461" s="3"/>
      <c r="CY461" s="3"/>
      <c r="CZ461" s="3"/>
    </row>
    <row r="462" spans="1:104" ht="14.25" customHeight="1" x14ac:dyDescent="0.25">
      <c r="A462" s="3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3"/>
      <c r="CV462" s="3"/>
      <c r="CW462" s="3"/>
      <c r="CX462" s="3"/>
      <c r="CY462" s="3"/>
      <c r="CZ462" s="3"/>
    </row>
    <row r="463" spans="1:104" ht="14.25" customHeight="1" x14ac:dyDescent="0.25">
      <c r="A463" s="3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3"/>
      <c r="CV463" s="3"/>
      <c r="CW463" s="3"/>
      <c r="CX463" s="3"/>
      <c r="CY463" s="3"/>
      <c r="CZ463" s="3"/>
    </row>
    <row r="464" spans="1:104" ht="14.25" customHeight="1" x14ac:dyDescent="0.25">
      <c r="A464" s="3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3"/>
      <c r="CV464" s="3"/>
      <c r="CW464" s="3"/>
      <c r="CX464" s="3"/>
      <c r="CY464" s="3"/>
      <c r="CZ464" s="3"/>
    </row>
    <row r="465" spans="1:104" ht="14.25" customHeight="1" x14ac:dyDescent="0.25">
      <c r="A465" s="3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3"/>
      <c r="CV465" s="3"/>
      <c r="CW465" s="3"/>
      <c r="CX465" s="3"/>
      <c r="CY465" s="3"/>
      <c r="CZ465" s="3"/>
    </row>
    <row r="466" spans="1:104" ht="14.25" customHeight="1" x14ac:dyDescent="0.25">
      <c r="A466" s="3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3"/>
      <c r="CV466" s="3"/>
      <c r="CW466" s="3"/>
      <c r="CX466" s="3"/>
      <c r="CY466" s="3"/>
      <c r="CZ466" s="3"/>
    </row>
    <row r="467" spans="1:104" ht="14.25" customHeight="1" x14ac:dyDescent="0.25">
      <c r="A467" s="3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3"/>
      <c r="CV467" s="3"/>
      <c r="CW467" s="3"/>
      <c r="CX467" s="3"/>
      <c r="CY467" s="3"/>
      <c r="CZ467" s="3"/>
    </row>
    <row r="468" spans="1:104" ht="14.25" customHeight="1" x14ac:dyDescent="0.25">
      <c r="A468" s="3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3"/>
      <c r="CV468" s="3"/>
      <c r="CW468" s="3"/>
      <c r="CX468" s="3"/>
      <c r="CY468" s="3"/>
      <c r="CZ468" s="3"/>
    </row>
    <row r="469" spans="1:104" ht="14.25" customHeight="1" x14ac:dyDescent="0.25">
      <c r="A469" s="3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3"/>
      <c r="CV469" s="3"/>
      <c r="CW469" s="3"/>
      <c r="CX469" s="3"/>
      <c r="CY469" s="3"/>
      <c r="CZ469" s="3"/>
    </row>
    <row r="470" spans="1:104" ht="14.25" customHeight="1" x14ac:dyDescent="0.25">
      <c r="A470" s="3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3"/>
      <c r="CV470" s="3"/>
      <c r="CW470" s="3"/>
      <c r="CX470" s="3"/>
      <c r="CY470" s="3"/>
      <c r="CZ470" s="3"/>
    </row>
    <row r="471" spans="1:104" ht="14.25" customHeight="1" x14ac:dyDescent="0.25">
      <c r="A471" s="3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3"/>
      <c r="CV471" s="3"/>
      <c r="CW471" s="3"/>
      <c r="CX471" s="3"/>
      <c r="CY471" s="3"/>
      <c r="CZ471" s="3"/>
    </row>
    <row r="472" spans="1:104" ht="14.25" customHeight="1" x14ac:dyDescent="0.25">
      <c r="A472" s="3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3"/>
      <c r="CV472" s="3"/>
      <c r="CW472" s="3"/>
      <c r="CX472" s="3"/>
      <c r="CY472" s="3"/>
      <c r="CZ472" s="3"/>
    </row>
    <row r="473" spans="1:104" ht="14.25" customHeight="1" x14ac:dyDescent="0.25">
      <c r="A473" s="3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3"/>
      <c r="CV473" s="3"/>
      <c r="CW473" s="3"/>
      <c r="CX473" s="3"/>
      <c r="CY473" s="3"/>
      <c r="CZ473" s="3"/>
    </row>
    <row r="474" spans="1:104" ht="14.25" customHeight="1" x14ac:dyDescent="0.25">
      <c r="A474" s="3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3"/>
      <c r="CV474" s="3"/>
      <c r="CW474" s="3"/>
      <c r="CX474" s="3"/>
      <c r="CY474" s="3"/>
      <c r="CZ474" s="3"/>
    </row>
    <row r="475" spans="1:104" ht="14.25" customHeight="1" x14ac:dyDescent="0.25">
      <c r="A475" s="3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3"/>
      <c r="CV475" s="3"/>
      <c r="CW475" s="3"/>
      <c r="CX475" s="3"/>
      <c r="CY475" s="3"/>
      <c r="CZ475" s="3"/>
    </row>
    <row r="476" spans="1:104" ht="14.25" customHeight="1" x14ac:dyDescent="0.25">
      <c r="A476" s="3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3"/>
      <c r="CV476" s="3"/>
      <c r="CW476" s="3"/>
      <c r="CX476" s="3"/>
      <c r="CY476" s="3"/>
      <c r="CZ476" s="3"/>
    </row>
    <row r="477" spans="1:104" ht="14.25" customHeight="1" x14ac:dyDescent="0.25">
      <c r="A477" s="3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3"/>
      <c r="CV477" s="3"/>
      <c r="CW477" s="3"/>
      <c r="CX477" s="3"/>
      <c r="CY477" s="3"/>
      <c r="CZ477" s="3"/>
    </row>
    <row r="478" spans="1:104" ht="14.25" customHeight="1" x14ac:dyDescent="0.25">
      <c r="A478" s="3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3"/>
      <c r="CV478" s="3"/>
      <c r="CW478" s="3"/>
      <c r="CX478" s="3"/>
      <c r="CY478" s="3"/>
      <c r="CZ478" s="3"/>
    </row>
    <row r="479" spans="1:104" ht="14.25" customHeight="1" x14ac:dyDescent="0.25">
      <c r="A479" s="3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3"/>
      <c r="CV479" s="3"/>
      <c r="CW479" s="3"/>
      <c r="CX479" s="3"/>
      <c r="CY479" s="3"/>
      <c r="CZ479" s="3"/>
    </row>
    <row r="480" spans="1:104" ht="14.25" customHeight="1" x14ac:dyDescent="0.25">
      <c r="A480" s="3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3"/>
      <c r="CV480" s="3"/>
      <c r="CW480" s="3"/>
      <c r="CX480" s="3"/>
      <c r="CY480" s="3"/>
      <c r="CZ480" s="3"/>
    </row>
    <row r="481" spans="1:104" ht="14.25" customHeight="1" x14ac:dyDescent="0.25">
      <c r="A481" s="3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3"/>
      <c r="CV481" s="3"/>
      <c r="CW481" s="3"/>
      <c r="CX481" s="3"/>
      <c r="CY481" s="3"/>
      <c r="CZ481" s="3"/>
    </row>
    <row r="482" spans="1:104" ht="14.25" customHeight="1" x14ac:dyDescent="0.25">
      <c r="A482" s="3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3"/>
      <c r="CV482" s="3"/>
      <c r="CW482" s="3"/>
      <c r="CX482" s="3"/>
      <c r="CY482" s="3"/>
      <c r="CZ482" s="3"/>
    </row>
    <row r="483" spans="1:104" ht="14.25" customHeight="1" x14ac:dyDescent="0.25">
      <c r="A483" s="3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3"/>
      <c r="CV483" s="3"/>
      <c r="CW483" s="3"/>
      <c r="CX483" s="3"/>
      <c r="CY483" s="3"/>
      <c r="CZ483" s="3"/>
    </row>
    <row r="484" spans="1:104" ht="14.25" customHeight="1" x14ac:dyDescent="0.25">
      <c r="A484" s="3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3"/>
      <c r="CV484" s="3"/>
      <c r="CW484" s="3"/>
      <c r="CX484" s="3"/>
      <c r="CY484" s="3"/>
      <c r="CZ484" s="3"/>
    </row>
    <row r="485" spans="1:104" ht="14.25" customHeight="1" x14ac:dyDescent="0.25">
      <c r="A485" s="3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3"/>
      <c r="CV485" s="3"/>
      <c r="CW485" s="3"/>
      <c r="CX485" s="3"/>
      <c r="CY485" s="3"/>
      <c r="CZ485" s="3"/>
    </row>
    <row r="486" spans="1:104" ht="14.25" customHeight="1" x14ac:dyDescent="0.25">
      <c r="A486" s="3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3"/>
      <c r="CV486" s="3"/>
      <c r="CW486" s="3"/>
      <c r="CX486" s="3"/>
      <c r="CY486" s="3"/>
      <c r="CZ486" s="3"/>
    </row>
    <row r="487" spans="1:104" ht="14.25" customHeight="1" x14ac:dyDescent="0.25">
      <c r="A487" s="3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3"/>
      <c r="CV487" s="3"/>
      <c r="CW487" s="3"/>
      <c r="CX487" s="3"/>
      <c r="CY487" s="3"/>
      <c r="CZ487" s="3"/>
    </row>
    <row r="488" spans="1:104" ht="14.25" customHeight="1" x14ac:dyDescent="0.25">
      <c r="A488" s="3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3"/>
      <c r="CV488" s="3"/>
      <c r="CW488" s="3"/>
      <c r="CX488" s="3"/>
      <c r="CY488" s="3"/>
      <c r="CZ488" s="3"/>
    </row>
    <row r="489" spans="1:104" ht="14.25" customHeight="1" x14ac:dyDescent="0.25">
      <c r="A489" s="3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3"/>
      <c r="CV489" s="3"/>
      <c r="CW489" s="3"/>
      <c r="CX489" s="3"/>
      <c r="CY489" s="3"/>
      <c r="CZ489" s="3"/>
    </row>
    <row r="490" spans="1:104" ht="14.25" customHeight="1" x14ac:dyDescent="0.25">
      <c r="A490" s="3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3"/>
      <c r="CV490" s="3"/>
      <c r="CW490" s="3"/>
      <c r="CX490" s="3"/>
      <c r="CY490" s="3"/>
      <c r="CZ490" s="3"/>
    </row>
    <row r="491" spans="1:104" ht="14.25" customHeight="1" x14ac:dyDescent="0.25">
      <c r="A491" s="3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3"/>
      <c r="CV491" s="3"/>
      <c r="CW491" s="3"/>
      <c r="CX491" s="3"/>
      <c r="CY491" s="3"/>
      <c r="CZ491" s="3"/>
    </row>
    <row r="492" spans="1:104" ht="14.25" customHeight="1" x14ac:dyDescent="0.25">
      <c r="A492" s="3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3"/>
      <c r="CV492" s="3"/>
      <c r="CW492" s="3"/>
      <c r="CX492" s="3"/>
      <c r="CY492" s="3"/>
      <c r="CZ492" s="3"/>
    </row>
    <row r="493" spans="1:104" ht="14.25" customHeight="1" x14ac:dyDescent="0.25">
      <c r="A493" s="3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3"/>
      <c r="CV493" s="3"/>
      <c r="CW493" s="3"/>
      <c r="CX493" s="3"/>
      <c r="CY493" s="3"/>
      <c r="CZ493" s="3"/>
    </row>
    <row r="494" spans="1:104" ht="14.25" customHeight="1" x14ac:dyDescent="0.25">
      <c r="A494" s="3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3"/>
      <c r="CV494" s="3"/>
      <c r="CW494" s="3"/>
      <c r="CX494" s="3"/>
      <c r="CY494" s="3"/>
      <c r="CZ494" s="3"/>
    </row>
    <row r="495" spans="1:104" ht="14.25" customHeight="1" x14ac:dyDescent="0.25">
      <c r="A495" s="3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3"/>
      <c r="CV495" s="3"/>
      <c r="CW495" s="3"/>
      <c r="CX495" s="3"/>
      <c r="CY495" s="3"/>
      <c r="CZ495" s="3"/>
    </row>
    <row r="496" spans="1:104" ht="14.25" customHeight="1" x14ac:dyDescent="0.25">
      <c r="A496" s="3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3"/>
      <c r="CV496" s="3"/>
      <c r="CW496" s="3"/>
      <c r="CX496" s="3"/>
      <c r="CY496" s="3"/>
      <c r="CZ496" s="3"/>
    </row>
    <row r="497" spans="1:104" ht="14.25" customHeight="1" x14ac:dyDescent="0.25">
      <c r="A497" s="3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3"/>
      <c r="CV497" s="3"/>
      <c r="CW497" s="3"/>
      <c r="CX497" s="3"/>
      <c r="CY497" s="3"/>
      <c r="CZ497" s="3"/>
    </row>
    <row r="498" spans="1:104" ht="14.25" customHeight="1" x14ac:dyDescent="0.25">
      <c r="A498" s="3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3"/>
      <c r="CV498" s="3"/>
      <c r="CW498" s="3"/>
      <c r="CX498" s="3"/>
      <c r="CY498" s="3"/>
      <c r="CZ498" s="3"/>
    </row>
    <row r="499" spans="1:104" ht="14.25" customHeight="1" x14ac:dyDescent="0.25">
      <c r="A499" s="3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3"/>
      <c r="CV499" s="3"/>
      <c r="CW499" s="3"/>
      <c r="CX499" s="3"/>
      <c r="CY499" s="3"/>
      <c r="CZ499" s="3"/>
    </row>
    <row r="500" spans="1:104" ht="14.25" customHeight="1" x14ac:dyDescent="0.25">
      <c r="A500" s="3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3"/>
      <c r="CV500" s="3"/>
      <c r="CW500" s="3"/>
      <c r="CX500" s="3"/>
      <c r="CY500" s="3"/>
      <c r="CZ500" s="3"/>
    </row>
    <row r="501" spans="1:104" ht="14.25" customHeight="1" x14ac:dyDescent="0.25">
      <c r="A501" s="3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3"/>
      <c r="CV501" s="3"/>
      <c r="CW501" s="3"/>
      <c r="CX501" s="3"/>
      <c r="CY501" s="3"/>
      <c r="CZ501" s="3"/>
    </row>
    <row r="502" spans="1:104" ht="14.25" customHeight="1" x14ac:dyDescent="0.25">
      <c r="A502" s="3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3"/>
      <c r="CV502" s="3"/>
      <c r="CW502" s="3"/>
      <c r="CX502" s="3"/>
      <c r="CY502" s="3"/>
      <c r="CZ502" s="3"/>
    </row>
    <row r="503" spans="1:104" ht="14.25" customHeight="1" x14ac:dyDescent="0.25">
      <c r="A503" s="3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3"/>
      <c r="CV503" s="3"/>
      <c r="CW503" s="3"/>
      <c r="CX503" s="3"/>
      <c r="CY503" s="3"/>
      <c r="CZ503" s="3"/>
    </row>
    <row r="504" spans="1:104" ht="14.25" customHeight="1" x14ac:dyDescent="0.25">
      <c r="A504" s="3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3"/>
      <c r="CV504" s="3"/>
      <c r="CW504" s="3"/>
      <c r="CX504" s="3"/>
      <c r="CY504" s="3"/>
      <c r="CZ504" s="3"/>
    </row>
    <row r="505" spans="1:104" ht="14.25" customHeight="1" x14ac:dyDescent="0.25">
      <c r="A505" s="3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3"/>
      <c r="CV505" s="3"/>
      <c r="CW505" s="3"/>
      <c r="CX505" s="3"/>
      <c r="CY505" s="3"/>
      <c r="CZ505" s="3"/>
    </row>
    <row r="506" spans="1:104" ht="14.25" customHeight="1" x14ac:dyDescent="0.25">
      <c r="A506" s="3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3"/>
      <c r="CV506" s="3"/>
      <c r="CW506" s="3"/>
      <c r="CX506" s="3"/>
      <c r="CY506" s="3"/>
      <c r="CZ506" s="3"/>
    </row>
    <row r="507" spans="1:104" ht="14.25" customHeight="1" x14ac:dyDescent="0.25">
      <c r="A507" s="3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3"/>
      <c r="CV507" s="3"/>
      <c r="CW507" s="3"/>
      <c r="CX507" s="3"/>
      <c r="CY507" s="3"/>
      <c r="CZ507" s="3"/>
    </row>
    <row r="508" spans="1:104" ht="14.25" customHeight="1" x14ac:dyDescent="0.25">
      <c r="A508" s="3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3"/>
      <c r="CV508" s="3"/>
      <c r="CW508" s="3"/>
      <c r="CX508" s="3"/>
      <c r="CY508" s="3"/>
      <c r="CZ508" s="3"/>
    </row>
    <row r="509" spans="1:104" ht="14.25" customHeight="1" x14ac:dyDescent="0.25">
      <c r="A509" s="3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3"/>
      <c r="CV509" s="3"/>
      <c r="CW509" s="3"/>
      <c r="CX509" s="3"/>
      <c r="CY509" s="3"/>
      <c r="CZ509" s="3"/>
    </row>
    <row r="510" spans="1:104" ht="14.25" customHeight="1" x14ac:dyDescent="0.25">
      <c r="A510" s="3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3"/>
      <c r="CV510" s="3"/>
      <c r="CW510" s="3"/>
      <c r="CX510" s="3"/>
      <c r="CY510" s="3"/>
      <c r="CZ510" s="3"/>
    </row>
    <row r="511" spans="1:104" ht="14.25" customHeight="1" x14ac:dyDescent="0.25">
      <c r="A511" s="3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3"/>
      <c r="CV511" s="3"/>
      <c r="CW511" s="3"/>
      <c r="CX511" s="3"/>
      <c r="CY511" s="3"/>
      <c r="CZ511" s="3"/>
    </row>
    <row r="512" spans="1:104" ht="14.25" customHeight="1" x14ac:dyDescent="0.25">
      <c r="A512" s="3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3"/>
      <c r="CV512" s="3"/>
      <c r="CW512" s="3"/>
      <c r="CX512" s="3"/>
      <c r="CY512" s="3"/>
      <c r="CZ512" s="3"/>
    </row>
    <row r="513" spans="1:104" ht="14.25" customHeight="1" x14ac:dyDescent="0.25">
      <c r="A513" s="3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3"/>
      <c r="CV513" s="3"/>
      <c r="CW513" s="3"/>
      <c r="CX513" s="3"/>
      <c r="CY513" s="3"/>
      <c r="CZ513" s="3"/>
    </row>
    <row r="514" spans="1:104" ht="14.25" customHeight="1" x14ac:dyDescent="0.25">
      <c r="A514" s="3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3"/>
      <c r="CV514" s="3"/>
      <c r="CW514" s="3"/>
      <c r="CX514" s="3"/>
      <c r="CY514" s="3"/>
      <c r="CZ514" s="3"/>
    </row>
    <row r="515" spans="1:104" ht="14.25" customHeight="1" x14ac:dyDescent="0.25">
      <c r="A515" s="3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3"/>
      <c r="CV515" s="3"/>
      <c r="CW515" s="3"/>
      <c r="CX515" s="3"/>
      <c r="CY515" s="3"/>
      <c r="CZ515" s="3"/>
    </row>
    <row r="516" spans="1:104" ht="14.25" customHeight="1" x14ac:dyDescent="0.25">
      <c r="A516" s="3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3"/>
      <c r="CV516" s="3"/>
      <c r="CW516" s="3"/>
      <c r="CX516" s="3"/>
      <c r="CY516" s="3"/>
      <c r="CZ516" s="3"/>
    </row>
    <row r="517" spans="1:104" ht="14.25" customHeight="1" x14ac:dyDescent="0.25">
      <c r="A517" s="3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3"/>
      <c r="CV517" s="3"/>
      <c r="CW517" s="3"/>
      <c r="CX517" s="3"/>
      <c r="CY517" s="3"/>
      <c r="CZ517" s="3"/>
    </row>
    <row r="518" spans="1:104" ht="14.25" customHeight="1" x14ac:dyDescent="0.25">
      <c r="A518" s="3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3"/>
      <c r="CV518" s="3"/>
      <c r="CW518" s="3"/>
      <c r="CX518" s="3"/>
      <c r="CY518" s="3"/>
      <c r="CZ518" s="3"/>
    </row>
    <row r="519" spans="1:104" ht="14.25" customHeight="1" x14ac:dyDescent="0.25">
      <c r="A519" s="3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3"/>
      <c r="CV519" s="3"/>
      <c r="CW519" s="3"/>
      <c r="CX519" s="3"/>
      <c r="CY519" s="3"/>
      <c r="CZ519" s="3"/>
    </row>
    <row r="520" spans="1:104" ht="14.25" customHeight="1" x14ac:dyDescent="0.25">
      <c r="A520" s="3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3"/>
      <c r="CV520" s="3"/>
      <c r="CW520" s="3"/>
      <c r="CX520" s="3"/>
      <c r="CY520" s="3"/>
      <c r="CZ520" s="3"/>
    </row>
    <row r="521" spans="1:104" ht="14.25" customHeight="1" x14ac:dyDescent="0.25">
      <c r="A521" s="3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3"/>
      <c r="CV521" s="3"/>
      <c r="CW521" s="3"/>
      <c r="CX521" s="3"/>
      <c r="CY521" s="3"/>
      <c r="CZ521" s="3"/>
    </row>
    <row r="522" spans="1:104" ht="14.25" customHeight="1" x14ac:dyDescent="0.25">
      <c r="A522" s="3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3"/>
      <c r="CV522" s="3"/>
      <c r="CW522" s="3"/>
      <c r="CX522" s="3"/>
      <c r="CY522" s="3"/>
      <c r="CZ522" s="3"/>
    </row>
    <row r="523" spans="1:104" ht="14.25" customHeight="1" x14ac:dyDescent="0.25">
      <c r="A523" s="3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3"/>
      <c r="CV523" s="3"/>
      <c r="CW523" s="3"/>
      <c r="CX523" s="3"/>
      <c r="CY523" s="3"/>
      <c r="CZ523" s="3"/>
    </row>
    <row r="524" spans="1:104" ht="14.25" customHeight="1" x14ac:dyDescent="0.25">
      <c r="A524" s="3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3"/>
      <c r="CV524" s="3"/>
      <c r="CW524" s="3"/>
      <c r="CX524" s="3"/>
      <c r="CY524" s="3"/>
      <c r="CZ524" s="3"/>
    </row>
    <row r="525" spans="1:104" ht="14.25" customHeight="1" x14ac:dyDescent="0.25">
      <c r="A525" s="3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3"/>
      <c r="CV525" s="3"/>
      <c r="CW525" s="3"/>
      <c r="CX525" s="3"/>
      <c r="CY525" s="3"/>
      <c r="CZ525" s="3"/>
    </row>
    <row r="526" spans="1:104" ht="14.25" customHeight="1" x14ac:dyDescent="0.25">
      <c r="A526" s="3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3"/>
      <c r="CV526" s="3"/>
      <c r="CW526" s="3"/>
      <c r="CX526" s="3"/>
      <c r="CY526" s="3"/>
      <c r="CZ526" s="3"/>
    </row>
    <row r="527" spans="1:104" ht="14.25" customHeight="1" x14ac:dyDescent="0.25">
      <c r="A527" s="3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3"/>
      <c r="CV527" s="3"/>
      <c r="CW527" s="3"/>
      <c r="CX527" s="3"/>
      <c r="CY527" s="3"/>
      <c r="CZ527" s="3"/>
    </row>
    <row r="528" spans="1:104" ht="14.25" customHeight="1" x14ac:dyDescent="0.25">
      <c r="A528" s="3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3"/>
      <c r="CV528" s="3"/>
      <c r="CW528" s="3"/>
      <c r="CX528" s="3"/>
      <c r="CY528" s="3"/>
      <c r="CZ528" s="3"/>
    </row>
    <row r="529" spans="1:104" ht="14.25" customHeight="1" x14ac:dyDescent="0.25">
      <c r="A529" s="3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3"/>
      <c r="CV529" s="3"/>
      <c r="CW529" s="3"/>
      <c r="CX529" s="3"/>
      <c r="CY529" s="3"/>
      <c r="CZ529" s="3"/>
    </row>
    <row r="530" spans="1:104" ht="14.25" customHeight="1" x14ac:dyDescent="0.25">
      <c r="A530" s="3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3"/>
      <c r="CV530" s="3"/>
      <c r="CW530" s="3"/>
      <c r="CX530" s="3"/>
      <c r="CY530" s="3"/>
      <c r="CZ530" s="3"/>
    </row>
    <row r="531" spans="1:104" ht="14.25" customHeight="1" x14ac:dyDescent="0.25">
      <c r="A531" s="3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3"/>
      <c r="CV531" s="3"/>
      <c r="CW531" s="3"/>
      <c r="CX531" s="3"/>
      <c r="CY531" s="3"/>
      <c r="CZ531" s="3"/>
    </row>
    <row r="532" spans="1:104" ht="14.25" customHeight="1" x14ac:dyDescent="0.25">
      <c r="A532" s="3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3"/>
      <c r="CV532" s="3"/>
      <c r="CW532" s="3"/>
      <c r="CX532" s="3"/>
      <c r="CY532" s="3"/>
      <c r="CZ532" s="3"/>
    </row>
    <row r="533" spans="1:104" ht="14.25" customHeight="1" x14ac:dyDescent="0.25">
      <c r="A533" s="3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3"/>
      <c r="CV533" s="3"/>
      <c r="CW533" s="3"/>
      <c r="CX533" s="3"/>
      <c r="CY533" s="3"/>
      <c r="CZ533" s="3"/>
    </row>
    <row r="534" spans="1:104" ht="14.25" customHeight="1" x14ac:dyDescent="0.25">
      <c r="A534" s="3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3"/>
      <c r="CV534" s="3"/>
      <c r="CW534" s="3"/>
      <c r="CX534" s="3"/>
      <c r="CY534" s="3"/>
      <c r="CZ534" s="3"/>
    </row>
    <row r="535" spans="1:104" ht="14.25" customHeight="1" x14ac:dyDescent="0.25">
      <c r="A535" s="3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3"/>
      <c r="CV535" s="3"/>
      <c r="CW535" s="3"/>
      <c r="CX535" s="3"/>
      <c r="CY535" s="3"/>
      <c r="CZ535" s="3"/>
    </row>
    <row r="536" spans="1:104" ht="14.25" customHeight="1" x14ac:dyDescent="0.25">
      <c r="A536" s="3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3"/>
      <c r="CV536" s="3"/>
      <c r="CW536" s="3"/>
      <c r="CX536" s="3"/>
      <c r="CY536" s="3"/>
      <c r="CZ536" s="3"/>
    </row>
    <row r="537" spans="1:104" ht="14.25" customHeight="1" x14ac:dyDescent="0.25">
      <c r="A537" s="3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3"/>
      <c r="CV537" s="3"/>
      <c r="CW537" s="3"/>
      <c r="CX537" s="3"/>
      <c r="CY537" s="3"/>
      <c r="CZ537" s="3"/>
    </row>
    <row r="538" spans="1:104" ht="14.25" customHeight="1" x14ac:dyDescent="0.25">
      <c r="A538" s="3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3"/>
      <c r="CV538" s="3"/>
      <c r="CW538" s="3"/>
      <c r="CX538" s="3"/>
      <c r="CY538" s="3"/>
      <c r="CZ538" s="3"/>
    </row>
    <row r="539" spans="1:104" ht="14.25" customHeight="1" x14ac:dyDescent="0.25">
      <c r="A539" s="3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3"/>
      <c r="CV539" s="3"/>
      <c r="CW539" s="3"/>
      <c r="CX539" s="3"/>
      <c r="CY539" s="3"/>
      <c r="CZ539" s="3"/>
    </row>
    <row r="540" spans="1:104" ht="14.25" customHeight="1" x14ac:dyDescent="0.25">
      <c r="A540" s="3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3"/>
      <c r="CV540" s="3"/>
      <c r="CW540" s="3"/>
      <c r="CX540" s="3"/>
      <c r="CY540" s="3"/>
      <c r="CZ540" s="3"/>
    </row>
    <row r="541" spans="1:104" ht="14.25" customHeight="1" x14ac:dyDescent="0.25">
      <c r="A541" s="3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3"/>
      <c r="CV541" s="3"/>
      <c r="CW541" s="3"/>
      <c r="CX541" s="3"/>
      <c r="CY541" s="3"/>
      <c r="CZ541" s="3"/>
    </row>
    <row r="542" spans="1:104" ht="14.25" customHeight="1" x14ac:dyDescent="0.25">
      <c r="A542" s="3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3"/>
      <c r="CV542" s="3"/>
      <c r="CW542" s="3"/>
      <c r="CX542" s="3"/>
      <c r="CY542" s="3"/>
      <c r="CZ542" s="3"/>
    </row>
    <row r="543" spans="1:104" ht="14.25" customHeight="1" x14ac:dyDescent="0.25">
      <c r="A543" s="3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3"/>
      <c r="CV543" s="3"/>
      <c r="CW543" s="3"/>
      <c r="CX543" s="3"/>
      <c r="CY543" s="3"/>
      <c r="CZ543" s="3"/>
    </row>
    <row r="544" spans="1:104" ht="14.25" customHeight="1" x14ac:dyDescent="0.25">
      <c r="A544" s="3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3"/>
      <c r="CV544" s="3"/>
      <c r="CW544" s="3"/>
      <c r="CX544" s="3"/>
      <c r="CY544" s="3"/>
      <c r="CZ544" s="3"/>
    </row>
    <row r="545" spans="1:104" ht="14.25" customHeight="1" x14ac:dyDescent="0.25">
      <c r="A545" s="3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3"/>
      <c r="CV545" s="3"/>
      <c r="CW545" s="3"/>
      <c r="CX545" s="3"/>
      <c r="CY545" s="3"/>
      <c r="CZ545" s="3"/>
    </row>
    <row r="546" spans="1:104" ht="14.25" customHeight="1" x14ac:dyDescent="0.25">
      <c r="A546" s="3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3"/>
      <c r="CV546" s="3"/>
      <c r="CW546" s="3"/>
      <c r="CX546" s="3"/>
      <c r="CY546" s="3"/>
      <c r="CZ546" s="3"/>
    </row>
    <row r="547" spans="1:104" ht="14.25" customHeight="1" x14ac:dyDescent="0.25">
      <c r="A547" s="3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3"/>
      <c r="CV547" s="3"/>
      <c r="CW547" s="3"/>
      <c r="CX547" s="3"/>
      <c r="CY547" s="3"/>
      <c r="CZ547" s="3"/>
    </row>
    <row r="548" spans="1:104" ht="14.25" customHeight="1" x14ac:dyDescent="0.25">
      <c r="A548" s="3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3"/>
      <c r="CV548" s="3"/>
      <c r="CW548" s="3"/>
      <c r="CX548" s="3"/>
      <c r="CY548" s="3"/>
      <c r="CZ548" s="3"/>
    </row>
    <row r="549" spans="1:104" ht="14.25" customHeight="1" x14ac:dyDescent="0.25">
      <c r="A549" s="3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3"/>
      <c r="CV549" s="3"/>
      <c r="CW549" s="3"/>
      <c r="CX549" s="3"/>
      <c r="CY549" s="3"/>
      <c r="CZ549" s="3"/>
    </row>
    <row r="550" spans="1:104" ht="14.25" customHeight="1" x14ac:dyDescent="0.25">
      <c r="A550" s="3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3"/>
      <c r="CV550" s="3"/>
      <c r="CW550" s="3"/>
      <c r="CX550" s="3"/>
      <c r="CY550" s="3"/>
      <c r="CZ550" s="3"/>
    </row>
    <row r="551" spans="1:104" ht="14.25" customHeight="1" x14ac:dyDescent="0.25">
      <c r="A551" s="3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3"/>
      <c r="CV551" s="3"/>
      <c r="CW551" s="3"/>
      <c r="CX551" s="3"/>
      <c r="CY551" s="3"/>
      <c r="CZ551" s="3"/>
    </row>
    <row r="552" spans="1:104" ht="14.25" customHeight="1" x14ac:dyDescent="0.25">
      <c r="A552" s="3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3"/>
      <c r="CV552" s="3"/>
      <c r="CW552" s="3"/>
      <c r="CX552" s="3"/>
      <c r="CY552" s="3"/>
      <c r="CZ552" s="3"/>
    </row>
    <row r="553" spans="1:104" ht="14.25" customHeight="1" x14ac:dyDescent="0.25">
      <c r="A553" s="3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3"/>
      <c r="CV553" s="3"/>
      <c r="CW553" s="3"/>
      <c r="CX553" s="3"/>
      <c r="CY553" s="3"/>
      <c r="CZ553" s="3"/>
    </row>
    <row r="554" spans="1:104" ht="14.25" customHeight="1" x14ac:dyDescent="0.25">
      <c r="A554" s="3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3"/>
      <c r="CV554" s="3"/>
      <c r="CW554" s="3"/>
      <c r="CX554" s="3"/>
      <c r="CY554" s="3"/>
      <c r="CZ554" s="3"/>
    </row>
    <row r="555" spans="1:104" ht="14.25" customHeight="1" x14ac:dyDescent="0.25">
      <c r="A555" s="3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3"/>
      <c r="CV555" s="3"/>
      <c r="CW555" s="3"/>
      <c r="CX555" s="3"/>
      <c r="CY555" s="3"/>
      <c r="CZ555" s="3"/>
    </row>
    <row r="556" spans="1:104" ht="14.25" customHeight="1" x14ac:dyDescent="0.25">
      <c r="A556" s="3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3"/>
      <c r="CV556" s="3"/>
      <c r="CW556" s="3"/>
      <c r="CX556" s="3"/>
      <c r="CY556" s="3"/>
      <c r="CZ556" s="3"/>
    </row>
    <row r="557" spans="1:104" ht="14.25" customHeight="1" x14ac:dyDescent="0.25">
      <c r="A557" s="3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3"/>
      <c r="CV557" s="3"/>
      <c r="CW557" s="3"/>
      <c r="CX557" s="3"/>
      <c r="CY557" s="3"/>
      <c r="CZ557" s="3"/>
    </row>
    <row r="558" spans="1:104" ht="14.25" customHeight="1" x14ac:dyDescent="0.25">
      <c r="A558" s="3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3"/>
      <c r="CV558" s="3"/>
      <c r="CW558" s="3"/>
      <c r="CX558" s="3"/>
      <c r="CY558" s="3"/>
      <c r="CZ558" s="3"/>
    </row>
    <row r="559" spans="1:104" ht="14.25" customHeight="1" x14ac:dyDescent="0.25">
      <c r="A559" s="3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3"/>
      <c r="CV559" s="3"/>
      <c r="CW559" s="3"/>
      <c r="CX559" s="3"/>
      <c r="CY559" s="3"/>
      <c r="CZ559" s="3"/>
    </row>
    <row r="560" spans="1:104" ht="14.25" customHeight="1" x14ac:dyDescent="0.25">
      <c r="A560" s="3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3"/>
      <c r="CV560" s="3"/>
      <c r="CW560" s="3"/>
      <c r="CX560" s="3"/>
      <c r="CY560" s="3"/>
      <c r="CZ560" s="3"/>
    </row>
    <row r="561" spans="1:104" ht="14.25" customHeight="1" x14ac:dyDescent="0.25">
      <c r="A561" s="3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3"/>
      <c r="CV561" s="3"/>
      <c r="CW561" s="3"/>
      <c r="CX561" s="3"/>
      <c r="CY561" s="3"/>
      <c r="CZ561" s="3"/>
    </row>
    <row r="562" spans="1:104" ht="14.25" customHeight="1" x14ac:dyDescent="0.25">
      <c r="A562" s="3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3"/>
      <c r="CV562" s="3"/>
      <c r="CW562" s="3"/>
      <c r="CX562" s="3"/>
      <c r="CY562" s="3"/>
      <c r="CZ562" s="3"/>
    </row>
    <row r="563" spans="1:104" ht="14.25" customHeight="1" x14ac:dyDescent="0.25">
      <c r="A563" s="3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3"/>
      <c r="CV563" s="3"/>
      <c r="CW563" s="3"/>
      <c r="CX563" s="3"/>
      <c r="CY563" s="3"/>
      <c r="CZ563" s="3"/>
    </row>
    <row r="564" spans="1:104" ht="14.25" customHeight="1" x14ac:dyDescent="0.25">
      <c r="A564" s="3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3"/>
      <c r="CV564" s="3"/>
      <c r="CW564" s="3"/>
      <c r="CX564" s="3"/>
      <c r="CY564" s="3"/>
      <c r="CZ564" s="3"/>
    </row>
    <row r="565" spans="1:104" ht="14.25" customHeight="1" x14ac:dyDescent="0.25">
      <c r="A565" s="3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3"/>
      <c r="CV565" s="3"/>
      <c r="CW565" s="3"/>
      <c r="CX565" s="3"/>
      <c r="CY565" s="3"/>
      <c r="CZ565" s="3"/>
    </row>
    <row r="566" spans="1:104" ht="14.25" customHeight="1" x14ac:dyDescent="0.25">
      <c r="A566" s="3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3"/>
      <c r="CV566" s="3"/>
      <c r="CW566" s="3"/>
      <c r="CX566" s="3"/>
      <c r="CY566" s="3"/>
      <c r="CZ566" s="3"/>
    </row>
    <row r="567" spans="1:104" ht="14.25" customHeight="1" x14ac:dyDescent="0.25">
      <c r="A567" s="3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3"/>
      <c r="CV567" s="3"/>
      <c r="CW567" s="3"/>
      <c r="CX567" s="3"/>
      <c r="CY567" s="3"/>
      <c r="CZ567" s="3"/>
    </row>
    <row r="568" spans="1:104" ht="14.25" customHeight="1" x14ac:dyDescent="0.25">
      <c r="A568" s="3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3"/>
      <c r="CV568" s="3"/>
      <c r="CW568" s="3"/>
      <c r="CX568" s="3"/>
      <c r="CY568" s="3"/>
      <c r="CZ568" s="3"/>
    </row>
    <row r="569" spans="1:104" ht="14.25" customHeight="1" x14ac:dyDescent="0.25">
      <c r="A569" s="3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3"/>
      <c r="CV569" s="3"/>
      <c r="CW569" s="3"/>
      <c r="CX569" s="3"/>
      <c r="CY569" s="3"/>
      <c r="CZ569" s="3"/>
    </row>
    <row r="570" spans="1:104" ht="14.25" customHeight="1" x14ac:dyDescent="0.25">
      <c r="A570" s="3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3"/>
      <c r="CV570" s="3"/>
      <c r="CW570" s="3"/>
      <c r="CX570" s="3"/>
      <c r="CY570" s="3"/>
      <c r="CZ570" s="3"/>
    </row>
    <row r="571" spans="1:104" ht="14.25" customHeight="1" x14ac:dyDescent="0.25">
      <c r="A571" s="3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3"/>
      <c r="CV571" s="3"/>
      <c r="CW571" s="3"/>
      <c r="CX571" s="3"/>
      <c r="CY571" s="3"/>
      <c r="CZ571" s="3"/>
    </row>
    <row r="572" spans="1:104" ht="14.25" customHeight="1" x14ac:dyDescent="0.25">
      <c r="A572" s="3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3"/>
      <c r="CV572" s="3"/>
      <c r="CW572" s="3"/>
      <c r="CX572" s="3"/>
      <c r="CY572" s="3"/>
      <c r="CZ572" s="3"/>
    </row>
    <row r="573" spans="1:104" ht="14.25" customHeight="1" x14ac:dyDescent="0.25">
      <c r="A573" s="3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3"/>
      <c r="CV573" s="3"/>
      <c r="CW573" s="3"/>
      <c r="CX573" s="3"/>
      <c r="CY573" s="3"/>
      <c r="CZ573" s="3"/>
    </row>
    <row r="574" spans="1:104" ht="14.25" customHeight="1" x14ac:dyDescent="0.25">
      <c r="A574" s="3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3"/>
      <c r="CV574" s="3"/>
      <c r="CW574" s="3"/>
      <c r="CX574" s="3"/>
      <c r="CY574" s="3"/>
      <c r="CZ574" s="3"/>
    </row>
    <row r="575" spans="1:104" ht="14.25" customHeight="1" x14ac:dyDescent="0.25">
      <c r="A575" s="3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3"/>
      <c r="CV575" s="3"/>
      <c r="CW575" s="3"/>
      <c r="CX575" s="3"/>
      <c r="CY575" s="3"/>
      <c r="CZ575" s="3"/>
    </row>
    <row r="576" spans="1:104" ht="14.25" customHeight="1" x14ac:dyDescent="0.25">
      <c r="A576" s="3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3"/>
      <c r="CV576" s="3"/>
      <c r="CW576" s="3"/>
      <c r="CX576" s="3"/>
      <c r="CY576" s="3"/>
      <c r="CZ576" s="3"/>
    </row>
    <row r="577" spans="1:104" ht="14.25" customHeight="1" x14ac:dyDescent="0.25">
      <c r="A577" s="3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3"/>
      <c r="CV577" s="3"/>
      <c r="CW577" s="3"/>
      <c r="CX577" s="3"/>
      <c r="CY577" s="3"/>
      <c r="CZ577" s="3"/>
    </row>
    <row r="578" spans="1:104" ht="14.25" customHeight="1" x14ac:dyDescent="0.25">
      <c r="A578" s="3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3"/>
      <c r="CV578" s="3"/>
      <c r="CW578" s="3"/>
      <c r="CX578" s="3"/>
      <c r="CY578" s="3"/>
      <c r="CZ578" s="3"/>
    </row>
    <row r="579" spans="1:104" ht="14.25" customHeight="1" x14ac:dyDescent="0.25">
      <c r="A579" s="3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3"/>
      <c r="CV579" s="3"/>
      <c r="CW579" s="3"/>
      <c r="CX579" s="3"/>
      <c r="CY579" s="3"/>
      <c r="CZ579" s="3"/>
    </row>
    <row r="580" spans="1:104" ht="14.25" customHeight="1" x14ac:dyDescent="0.25">
      <c r="A580" s="3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3"/>
      <c r="CV580" s="3"/>
      <c r="CW580" s="3"/>
      <c r="CX580" s="3"/>
      <c r="CY580" s="3"/>
      <c r="CZ580" s="3"/>
    </row>
    <row r="581" spans="1:104" ht="14.25" customHeight="1" x14ac:dyDescent="0.25">
      <c r="A581" s="3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3"/>
      <c r="CV581" s="3"/>
      <c r="CW581" s="3"/>
      <c r="CX581" s="3"/>
      <c r="CY581" s="3"/>
      <c r="CZ581" s="3"/>
    </row>
    <row r="582" spans="1:104" ht="14.25" customHeight="1" x14ac:dyDescent="0.25">
      <c r="A582" s="3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3"/>
      <c r="CV582" s="3"/>
      <c r="CW582" s="3"/>
      <c r="CX582" s="3"/>
      <c r="CY582" s="3"/>
      <c r="CZ582" s="3"/>
    </row>
    <row r="583" spans="1:104" ht="14.25" customHeight="1" x14ac:dyDescent="0.25">
      <c r="A583" s="3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3"/>
      <c r="CV583" s="3"/>
      <c r="CW583" s="3"/>
      <c r="CX583" s="3"/>
      <c r="CY583" s="3"/>
      <c r="CZ583" s="3"/>
    </row>
    <row r="584" spans="1:104" ht="14.25" customHeight="1" x14ac:dyDescent="0.25">
      <c r="A584" s="3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3"/>
      <c r="CV584" s="3"/>
      <c r="CW584" s="3"/>
      <c r="CX584" s="3"/>
      <c r="CY584" s="3"/>
      <c r="CZ584" s="3"/>
    </row>
    <row r="585" spans="1:104" ht="14.25" customHeight="1" x14ac:dyDescent="0.25">
      <c r="A585" s="3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3"/>
      <c r="CV585" s="3"/>
      <c r="CW585" s="3"/>
      <c r="CX585" s="3"/>
      <c r="CY585" s="3"/>
      <c r="CZ585" s="3"/>
    </row>
    <row r="586" spans="1:104" ht="14.25" customHeight="1" x14ac:dyDescent="0.25">
      <c r="A586" s="3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3"/>
      <c r="CV586" s="3"/>
      <c r="CW586" s="3"/>
      <c r="CX586" s="3"/>
      <c r="CY586" s="3"/>
      <c r="CZ586" s="3"/>
    </row>
    <row r="587" spans="1:104" ht="14.25" customHeight="1" x14ac:dyDescent="0.25">
      <c r="A587" s="3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3"/>
      <c r="CV587" s="3"/>
      <c r="CW587" s="3"/>
      <c r="CX587" s="3"/>
      <c r="CY587" s="3"/>
      <c r="CZ587" s="3"/>
    </row>
    <row r="588" spans="1:104" ht="14.25" customHeight="1" x14ac:dyDescent="0.25">
      <c r="A588" s="3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3"/>
      <c r="CV588" s="3"/>
      <c r="CW588" s="3"/>
      <c r="CX588" s="3"/>
      <c r="CY588" s="3"/>
      <c r="CZ588" s="3"/>
    </row>
    <row r="589" spans="1:104" ht="14.25" customHeight="1" x14ac:dyDescent="0.25">
      <c r="A589" s="3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3"/>
      <c r="CV589" s="3"/>
      <c r="CW589" s="3"/>
      <c r="CX589" s="3"/>
      <c r="CY589" s="3"/>
      <c r="CZ589" s="3"/>
    </row>
    <row r="590" spans="1:104" ht="14.25" customHeight="1" x14ac:dyDescent="0.25">
      <c r="A590" s="3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3"/>
      <c r="CV590" s="3"/>
      <c r="CW590" s="3"/>
      <c r="CX590" s="3"/>
      <c r="CY590" s="3"/>
      <c r="CZ590" s="3"/>
    </row>
    <row r="591" spans="1:104" ht="14.25" customHeight="1" x14ac:dyDescent="0.25">
      <c r="A591" s="3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3"/>
      <c r="CV591" s="3"/>
      <c r="CW591" s="3"/>
      <c r="CX591" s="3"/>
      <c r="CY591" s="3"/>
      <c r="CZ591" s="3"/>
    </row>
    <row r="592" spans="1:104" ht="14.25" customHeight="1" x14ac:dyDescent="0.25">
      <c r="A592" s="3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3"/>
      <c r="CV592" s="3"/>
      <c r="CW592" s="3"/>
      <c r="CX592" s="3"/>
      <c r="CY592" s="3"/>
      <c r="CZ592" s="3"/>
    </row>
    <row r="593" spans="1:104" ht="14.25" customHeight="1" x14ac:dyDescent="0.25">
      <c r="A593" s="3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3"/>
      <c r="CV593" s="3"/>
      <c r="CW593" s="3"/>
      <c r="CX593" s="3"/>
      <c r="CY593" s="3"/>
      <c r="CZ593" s="3"/>
    </row>
    <row r="594" spans="1:104" ht="14.25" customHeight="1" x14ac:dyDescent="0.25">
      <c r="A594" s="3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3"/>
      <c r="CV594" s="3"/>
      <c r="CW594" s="3"/>
      <c r="CX594" s="3"/>
      <c r="CY594" s="3"/>
      <c r="CZ594" s="3"/>
    </row>
    <row r="595" spans="1:104" ht="14.25" customHeight="1" x14ac:dyDescent="0.25">
      <c r="A595" s="3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3"/>
      <c r="CV595" s="3"/>
      <c r="CW595" s="3"/>
      <c r="CX595" s="3"/>
      <c r="CY595" s="3"/>
      <c r="CZ595" s="3"/>
    </row>
    <row r="596" spans="1:104" ht="14.25" customHeight="1" x14ac:dyDescent="0.25">
      <c r="A596" s="3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3"/>
      <c r="CV596" s="3"/>
      <c r="CW596" s="3"/>
      <c r="CX596" s="3"/>
      <c r="CY596" s="3"/>
      <c r="CZ596" s="3"/>
    </row>
    <row r="597" spans="1:104" ht="14.25" customHeight="1" x14ac:dyDescent="0.25">
      <c r="A597" s="3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3"/>
      <c r="CV597" s="3"/>
      <c r="CW597" s="3"/>
      <c r="CX597" s="3"/>
      <c r="CY597" s="3"/>
      <c r="CZ597" s="3"/>
    </row>
    <row r="598" spans="1:104" ht="14.25" customHeight="1" x14ac:dyDescent="0.25">
      <c r="A598" s="3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3"/>
      <c r="CV598" s="3"/>
      <c r="CW598" s="3"/>
      <c r="CX598" s="3"/>
      <c r="CY598" s="3"/>
      <c r="CZ598" s="3"/>
    </row>
    <row r="599" spans="1:104" ht="14.25" customHeight="1" x14ac:dyDescent="0.25">
      <c r="A599" s="3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3"/>
      <c r="CV599" s="3"/>
      <c r="CW599" s="3"/>
      <c r="CX599" s="3"/>
      <c r="CY599" s="3"/>
      <c r="CZ599" s="3"/>
    </row>
    <row r="600" spans="1:104" ht="14.25" customHeight="1" x14ac:dyDescent="0.25">
      <c r="A600" s="3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3"/>
      <c r="CV600" s="3"/>
      <c r="CW600" s="3"/>
      <c r="CX600" s="3"/>
      <c r="CY600" s="3"/>
      <c r="CZ600" s="3"/>
    </row>
    <row r="601" spans="1:104" ht="14.25" customHeight="1" x14ac:dyDescent="0.25">
      <c r="A601" s="3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3"/>
      <c r="CV601" s="3"/>
      <c r="CW601" s="3"/>
      <c r="CX601" s="3"/>
      <c r="CY601" s="3"/>
      <c r="CZ601" s="3"/>
    </row>
    <row r="602" spans="1:104" ht="14.25" customHeight="1" x14ac:dyDescent="0.25">
      <c r="A602" s="3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3"/>
      <c r="CV602" s="3"/>
      <c r="CW602" s="3"/>
      <c r="CX602" s="3"/>
      <c r="CY602" s="3"/>
      <c r="CZ602" s="3"/>
    </row>
    <row r="603" spans="1:104" ht="14.25" customHeight="1" x14ac:dyDescent="0.25">
      <c r="A603" s="3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3"/>
      <c r="CV603" s="3"/>
      <c r="CW603" s="3"/>
      <c r="CX603" s="3"/>
      <c r="CY603" s="3"/>
      <c r="CZ603" s="3"/>
    </row>
    <row r="604" spans="1:104" ht="14.25" customHeight="1" x14ac:dyDescent="0.25">
      <c r="A604" s="3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3"/>
      <c r="CV604" s="3"/>
      <c r="CW604" s="3"/>
      <c r="CX604" s="3"/>
      <c r="CY604" s="3"/>
      <c r="CZ604" s="3"/>
    </row>
    <row r="605" spans="1:104" ht="14.25" customHeight="1" x14ac:dyDescent="0.25">
      <c r="A605" s="3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3"/>
      <c r="CV605" s="3"/>
      <c r="CW605" s="3"/>
      <c r="CX605" s="3"/>
      <c r="CY605" s="3"/>
      <c r="CZ605" s="3"/>
    </row>
    <row r="606" spans="1:104" ht="14.25" customHeight="1" x14ac:dyDescent="0.25">
      <c r="A606" s="3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3"/>
      <c r="CV606" s="3"/>
      <c r="CW606" s="3"/>
      <c r="CX606" s="3"/>
      <c r="CY606" s="3"/>
      <c r="CZ606" s="3"/>
    </row>
    <row r="607" spans="1:104" ht="14.25" customHeight="1" x14ac:dyDescent="0.25">
      <c r="A607" s="3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3"/>
      <c r="CV607" s="3"/>
      <c r="CW607" s="3"/>
      <c r="CX607" s="3"/>
      <c r="CY607" s="3"/>
      <c r="CZ607" s="3"/>
    </row>
    <row r="608" spans="1:104" ht="14.25" customHeight="1" x14ac:dyDescent="0.25">
      <c r="A608" s="3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3"/>
      <c r="CV608" s="3"/>
      <c r="CW608" s="3"/>
      <c r="CX608" s="3"/>
      <c r="CY608" s="3"/>
      <c r="CZ608" s="3"/>
    </row>
    <row r="609" spans="1:104" ht="14.25" customHeight="1" x14ac:dyDescent="0.25">
      <c r="A609" s="3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3"/>
      <c r="CV609" s="3"/>
      <c r="CW609" s="3"/>
      <c r="CX609" s="3"/>
      <c r="CY609" s="3"/>
      <c r="CZ609" s="3"/>
    </row>
    <row r="610" spans="1:104" ht="14.25" customHeight="1" x14ac:dyDescent="0.25">
      <c r="A610" s="3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3"/>
      <c r="CV610" s="3"/>
      <c r="CW610" s="3"/>
      <c r="CX610" s="3"/>
      <c r="CY610" s="3"/>
      <c r="CZ610" s="3"/>
    </row>
    <row r="611" spans="1:104" ht="14.25" customHeight="1" x14ac:dyDescent="0.25">
      <c r="A611" s="3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3"/>
      <c r="CV611" s="3"/>
      <c r="CW611" s="3"/>
      <c r="CX611" s="3"/>
      <c r="CY611" s="3"/>
      <c r="CZ611" s="3"/>
    </row>
    <row r="612" spans="1:104" ht="14.25" customHeight="1" x14ac:dyDescent="0.25">
      <c r="A612" s="3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3"/>
      <c r="CV612" s="3"/>
      <c r="CW612" s="3"/>
      <c r="CX612" s="3"/>
      <c r="CY612" s="3"/>
      <c r="CZ612" s="3"/>
    </row>
    <row r="613" spans="1:104" ht="14.25" customHeight="1" x14ac:dyDescent="0.25">
      <c r="A613" s="3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3"/>
      <c r="CV613" s="3"/>
      <c r="CW613" s="3"/>
      <c r="CX613" s="3"/>
      <c r="CY613" s="3"/>
      <c r="CZ613" s="3"/>
    </row>
    <row r="614" spans="1:104" ht="14.25" customHeight="1" x14ac:dyDescent="0.25">
      <c r="A614" s="3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3"/>
      <c r="CV614" s="3"/>
      <c r="CW614" s="3"/>
      <c r="CX614" s="3"/>
      <c r="CY614" s="3"/>
      <c r="CZ614" s="3"/>
    </row>
    <row r="615" spans="1:104" ht="14.25" customHeight="1" x14ac:dyDescent="0.25">
      <c r="A615" s="3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3"/>
      <c r="CV615" s="3"/>
      <c r="CW615" s="3"/>
      <c r="CX615" s="3"/>
      <c r="CY615" s="3"/>
      <c r="CZ615" s="3"/>
    </row>
    <row r="616" spans="1:104" ht="14.25" customHeight="1" x14ac:dyDescent="0.25">
      <c r="A616" s="3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3"/>
      <c r="CV616" s="3"/>
      <c r="CW616" s="3"/>
      <c r="CX616" s="3"/>
      <c r="CY616" s="3"/>
      <c r="CZ616" s="3"/>
    </row>
    <row r="617" spans="1:104" ht="14.25" customHeight="1" x14ac:dyDescent="0.25">
      <c r="A617" s="3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3"/>
      <c r="CV617" s="3"/>
      <c r="CW617" s="3"/>
      <c r="CX617" s="3"/>
      <c r="CY617" s="3"/>
      <c r="CZ617" s="3"/>
    </row>
    <row r="618" spans="1:104" ht="14.25" customHeight="1" x14ac:dyDescent="0.25">
      <c r="A618" s="3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3"/>
      <c r="CV618" s="3"/>
      <c r="CW618" s="3"/>
      <c r="CX618" s="3"/>
      <c r="CY618" s="3"/>
      <c r="CZ618" s="3"/>
    </row>
    <row r="619" spans="1:104" ht="14.25" customHeight="1" x14ac:dyDescent="0.25">
      <c r="A619" s="3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3"/>
      <c r="CV619" s="3"/>
      <c r="CW619" s="3"/>
      <c r="CX619" s="3"/>
      <c r="CY619" s="3"/>
      <c r="CZ619" s="3"/>
    </row>
    <row r="620" spans="1:104" ht="14.25" customHeight="1" x14ac:dyDescent="0.25">
      <c r="A620" s="3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3"/>
      <c r="CV620" s="3"/>
      <c r="CW620" s="3"/>
      <c r="CX620" s="3"/>
      <c r="CY620" s="3"/>
      <c r="CZ620" s="3"/>
    </row>
    <row r="621" spans="1:104" ht="14.25" customHeight="1" x14ac:dyDescent="0.25">
      <c r="A621" s="3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3"/>
      <c r="CV621" s="3"/>
      <c r="CW621" s="3"/>
      <c r="CX621" s="3"/>
      <c r="CY621" s="3"/>
      <c r="CZ621" s="3"/>
    </row>
    <row r="622" spans="1:104" ht="14.25" customHeight="1" x14ac:dyDescent="0.25">
      <c r="A622" s="3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3"/>
      <c r="CV622" s="3"/>
      <c r="CW622" s="3"/>
      <c r="CX622" s="3"/>
      <c r="CY622" s="3"/>
      <c r="CZ622" s="3"/>
    </row>
    <row r="623" spans="1:104" ht="14.25" customHeight="1" x14ac:dyDescent="0.25">
      <c r="A623" s="3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3"/>
      <c r="CV623" s="3"/>
      <c r="CW623" s="3"/>
      <c r="CX623" s="3"/>
      <c r="CY623" s="3"/>
      <c r="CZ623" s="3"/>
    </row>
    <row r="624" spans="1:104" ht="14.25" customHeight="1" x14ac:dyDescent="0.25">
      <c r="A624" s="3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3"/>
      <c r="CV624" s="3"/>
      <c r="CW624" s="3"/>
      <c r="CX624" s="3"/>
      <c r="CY624" s="3"/>
      <c r="CZ624" s="3"/>
    </row>
    <row r="625" spans="1:104" ht="14.25" customHeight="1" x14ac:dyDescent="0.25">
      <c r="A625" s="3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3"/>
      <c r="CV625" s="3"/>
      <c r="CW625" s="3"/>
      <c r="CX625" s="3"/>
      <c r="CY625" s="3"/>
      <c r="CZ625" s="3"/>
    </row>
    <row r="626" spans="1:104" ht="14.25" customHeight="1" x14ac:dyDescent="0.25">
      <c r="A626" s="3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3"/>
      <c r="CV626" s="3"/>
      <c r="CW626" s="3"/>
      <c r="CX626" s="3"/>
      <c r="CY626" s="3"/>
      <c r="CZ626" s="3"/>
    </row>
    <row r="627" spans="1:104" ht="14.25" customHeight="1" x14ac:dyDescent="0.25">
      <c r="A627" s="3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3"/>
      <c r="CV627" s="3"/>
      <c r="CW627" s="3"/>
      <c r="CX627" s="3"/>
      <c r="CY627" s="3"/>
      <c r="CZ627" s="3"/>
    </row>
    <row r="628" spans="1:104" ht="14.25" customHeight="1" x14ac:dyDescent="0.25">
      <c r="A628" s="3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3"/>
      <c r="CV628" s="3"/>
      <c r="CW628" s="3"/>
      <c r="CX628" s="3"/>
      <c r="CY628" s="3"/>
      <c r="CZ628" s="3"/>
    </row>
    <row r="629" spans="1:104" ht="14.25" customHeight="1" x14ac:dyDescent="0.25">
      <c r="A629" s="3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3"/>
      <c r="CV629" s="3"/>
      <c r="CW629" s="3"/>
      <c r="CX629" s="3"/>
      <c r="CY629" s="3"/>
      <c r="CZ629" s="3"/>
    </row>
    <row r="630" spans="1:104" ht="14.25" customHeight="1" x14ac:dyDescent="0.25">
      <c r="A630" s="3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3"/>
      <c r="CV630" s="3"/>
      <c r="CW630" s="3"/>
      <c r="CX630" s="3"/>
      <c r="CY630" s="3"/>
      <c r="CZ630" s="3"/>
    </row>
    <row r="631" spans="1:104" ht="14.25" customHeight="1" x14ac:dyDescent="0.25">
      <c r="A631" s="3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3"/>
      <c r="CV631" s="3"/>
      <c r="CW631" s="3"/>
      <c r="CX631" s="3"/>
      <c r="CY631" s="3"/>
      <c r="CZ631" s="3"/>
    </row>
    <row r="632" spans="1:104" ht="14.25" customHeight="1" x14ac:dyDescent="0.25">
      <c r="A632" s="3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3"/>
      <c r="CV632" s="3"/>
      <c r="CW632" s="3"/>
      <c r="CX632" s="3"/>
      <c r="CY632" s="3"/>
      <c r="CZ632" s="3"/>
    </row>
    <row r="633" spans="1:104" ht="14.25" customHeight="1" x14ac:dyDescent="0.25">
      <c r="A633" s="3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3"/>
      <c r="CV633" s="3"/>
      <c r="CW633" s="3"/>
      <c r="CX633" s="3"/>
      <c r="CY633" s="3"/>
      <c r="CZ633" s="3"/>
    </row>
    <row r="634" spans="1:104" ht="14.25" customHeight="1" x14ac:dyDescent="0.25">
      <c r="A634" s="3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3"/>
      <c r="CV634" s="3"/>
      <c r="CW634" s="3"/>
      <c r="CX634" s="3"/>
      <c r="CY634" s="3"/>
      <c r="CZ634" s="3"/>
    </row>
    <row r="635" spans="1:104" ht="14.25" customHeight="1" x14ac:dyDescent="0.25">
      <c r="A635" s="3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3"/>
      <c r="CV635" s="3"/>
      <c r="CW635" s="3"/>
      <c r="CX635" s="3"/>
      <c r="CY635" s="3"/>
      <c r="CZ635" s="3"/>
    </row>
    <row r="636" spans="1:104" ht="14.25" customHeight="1" x14ac:dyDescent="0.25">
      <c r="A636" s="3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3"/>
      <c r="CV636" s="3"/>
      <c r="CW636" s="3"/>
      <c r="CX636" s="3"/>
      <c r="CY636" s="3"/>
      <c r="CZ636" s="3"/>
    </row>
    <row r="637" spans="1:104" ht="14.25" customHeight="1" x14ac:dyDescent="0.25">
      <c r="A637" s="3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3"/>
      <c r="CV637" s="3"/>
      <c r="CW637" s="3"/>
      <c r="CX637" s="3"/>
      <c r="CY637" s="3"/>
      <c r="CZ637" s="3"/>
    </row>
    <row r="638" spans="1:104" ht="14.25" customHeight="1" x14ac:dyDescent="0.25">
      <c r="A638" s="3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3"/>
      <c r="CV638" s="3"/>
      <c r="CW638" s="3"/>
      <c r="CX638" s="3"/>
      <c r="CY638" s="3"/>
      <c r="CZ638" s="3"/>
    </row>
    <row r="639" spans="1:104" ht="14.25" customHeight="1" x14ac:dyDescent="0.25">
      <c r="A639" s="3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3"/>
      <c r="CV639" s="3"/>
      <c r="CW639" s="3"/>
      <c r="CX639" s="3"/>
      <c r="CY639" s="3"/>
      <c r="CZ639" s="3"/>
    </row>
    <row r="640" spans="1:104" ht="14.25" customHeight="1" x14ac:dyDescent="0.25">
      <c r="A640" s="3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3"/>
      <c r="CV640" s="3"/>
      <c r="CW640" s="3"/>
      <c r="CX640" s="3"/>
      <c r="CY640" s="3"/>
      <c r="CZ640" s="3"/>
    </row>
    <row r="641" spans="1:104" ht="14.25" customHeight="1" x14ac:dyDescent="0.25">
      <c r="A641" s="3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3"/>
      <c r="CV641" s="3"/>
      <c r="CW641" s="3"/>
      <c r="CX641" s="3"/>
      <c r="CY641" s="3"/>
      <c r="CZ641" s="3"/>
    </row>
    <row r="642" spans="1:104" ht="14.25" customHeight="1" x14ac:dyDescent="0.25">
      <c r="A642" s="3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3"/>
      <c r="CV642" s="3"/>
      <c r="CW642" s="3"/>
      <c r="CX642" s="3"/>
      <c r="CY642" s="3"/>
      <c r="CZ642" s="3"/>
    </row>
    <row r="643" spans="1:104" ht="14.25" customHeight="1" x14ac:dyDescent="0.25">
      <c r="A643" s="3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3"/>
      <c r="CV643" s="3"/>
      <c r="CW643" s="3"/>
      <c r="CX643" s="3"/>
      <c r="CY643" s="3"/>
      <c r="CZ643" s="3"/>
    </row>
    <row r="644" spans="1:104" ht="14.25" customHeight="1" x14ac:dyDescent="0.25">
      <c r="A644" s="3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3"/>
      <c r="CV644" s="3"/>
      <c r="CW644" s="3"/>
      <c r="CX644" s="3"/>
      <c r="CY644" s="3"/>
      <c r="CZ644" s="3"/>
    </row>
    <row r="645" spans="1:104" ht="14.25" customHeight="1" x14ac:dyDescent="0.25">
      <c r="A645" s="3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3"/>
      <c r="CV645" s="3"/>
      <c r="CW645" s="3"/>
      <c r="CX645" s="3"/>
      <c r="CY645" s="3"/>
      <c r="CZ645" s="3"/>
    </row>
    <row r="646" spans="1:104" ht="14.25" customHeight="1" x14ac:dyDescent="0.25">
      <c r="A646" s="3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3"/>
      <c r="CV646" s="3"/>
      <c r="CW646" s="3"/>
      <c r="CX646" s="3"/>
      <c r="CY646" s="3"/>
      <c r="CZ646" s="3"/>
    </row>
    <row r="647" spans="1:104" ht="14.25" customHeight="1" x14ac:dyDescent="0.25">
      <c r="A647" s="3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3"/>
      <c r="CV647" s="3"/>
      <c r="CW647" s="3"/>
      <c r="CX647" s="3"/>
      <c r="CY647" s="3"/>
      <c r="CZ647" s="3"/>
    </row>
    <row r="648" spans="1:104" ht="14.25" customHeight="1" x14ac:dyDescent="0.25">
      <c r="A648" s="3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3"/>
      <c r="CV648" s="3"/>
      <c r="CW648" s="3"/>
      <c r="CX648" s="3"/>
      <c r="CY648" s="3"/>
      <c r="CZ648" s="3"/>
    </row>
    <row r="649" spans="1:104" ht="14.25" customHeight="1" x14ac:dyDescent="0.25">
      <c r="A649" s="3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3"/>
      <c r="CV649" s="3"/>
      <c r="CW649" s="3"/>
      <c r="CX649" s="3"/>
      <c r="CY649" s="3"/>
      <c r="CZ649" s="3"/>
    </row>
    <row r="650" spans="1:104" ht="14.25" customHeight="1" x14ac:dyDescent="0.25">
      <c r="A650" s="3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3"/>
      <c r="CV650" s="3"/>
      <c r="CW650" s="3"/>
      <c r="CX650" s="3"/>
      <c r="CY650" s="3"/>
      <c r="CZ650" s="3"/>
    </row>
    <row r="651" spans="1:104" ht="14.25" customHeight="1" x14ac:dyDescent="0.25">
      <c r="A651" s="3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3"/>
      <c r="CV651" s="3"/>
      <c r="CW651" s="3"/>
      <c r="CX651" s="3"/>
      <c r="CY651" s="3"/>
      <c r="CZ651" s="3"/>
    </row>
    <row r="652" spans="1:104" ht="14.25" customHeight="1" x14ac:dyDescent="0.25">
      <c r="A652" s="3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3"/>
      <c r="CV652" s="3"/>
      <c r="CW652" s="3"/>
      <c r="CX652" s="3"/>
      <c r="CY652" s="3"/>
      <c r="CZ652" s="3"/>
    </row>
    <row r="653" spans="1:104" ht="14.25" customHeight="1" x14ac:dyDescent="0.25">
      <c r="A653" s="3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3"/>
      <c r="CV653" s="3"/>
      <c r="CW653" s="3"/>
      <c r="CX653" s="3"/>
      <c r="CY653" s="3"/>
      <c r="CZ653" s="3"/>
    </row>
    <row r="654" spans="1:104" ht="14.25" customHeight="1" x14ac:dyDescent="0.25">
      <c r="A654" s="3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3"/>
      <c r="CV654" s="3"/>
      <c r="CW654" s="3"/>
      <c r="CX654" s="3"/>
      <c r="CY654" s="3"/>
      <c r="CZ654" s="3"/>
    </row>
    <row r="655" spans="1:104" ht="14.25" customHeight="1" x14ac:dyDescent="0.25">
      <c r="A655" s="3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3"/>
      <c r="CV655" s="3"/>
      <c r="CW655" s="3"/>
      <c r="CX655" s="3"/>
      <c r="CY655" s="3"/>
      <c r="CZ655" s="3"/>
    </row>
    <row r="656" spans="1:104" ht="14.25" customHeight="1" x14ac:dyDescent="0.25">
      <c r="A656" s="3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3"/>
      <c r="CV656" s="3"/>
      <c r="CW656" s="3"/>
      <c r="CX656" s="3"/>
      <c r="CY656" s="3"/>
      <c r="CZ656" s="3"/>
    </row>
    <row r="657" spans="1:104" ht="14.25" customHeight="1" x14ac:dyDescent="0.25">
      <c r="A657" s="3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3"/>
      <c r="CV657" s="3"/>
      <c r="CW657" s="3"/>
      <c r="CX657" s="3"/>
      <c r="CY657" s="3"/>
      <c r="CZ657" s="3"/>
    </row>
    <row r="658" spans="1:104" ht="14.25" customHeight="1" x14ac:dyDescent="0.25">
      <c r="A658" s="3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3"/>
      <c r="CV658" s="3"/>
      <c r="CW658" s="3"/>
      <c r="CX658" s="3"/>
      <c r="CY658" s="3"/>
      <c r="CZ658" s="3"/>
    </row>
    <row r="659" spans="1:104" ht="14.25" customHeight="1" x14ac:dyDescent="0.25">
      <c r="A659" s="3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3"/>
      <c r="CV659" s="3"/>
      <c r="CW659" s="3"/>
      <c r="CX659" s="3"/>
      <c r="CY659" s="3"/>
      <c r="CZ659" s="3"/>
    </row>
    <row r="660" spans="1:104" ht="14.25" customHeight="1" x14ac:dyDescent="0.25">
      <c r="A660" s="3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3"/>
      <c r="CV660" s="3"/>
      <c r="CW660" s="3"/>
      <c r="CX660" s="3"/>
      <c r="CY660" s="3"/>
      <c r="CZ660" s="3"/>
    </row>
    <row r="661" spans="1:104" ht="14.25" customHeight="1" x14ac:dyDescent="0.25">
      <c r="A661" s="3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3"/>
      <c r="CV661" s="3"/>
      <c r="CW661" s="3"/>
      <c r="CX661" s="3"/>
      <c r="CY661" s="3"/>
      <c r="CZ661" s="3"/>
    </row>
    <row r="662" spans="1:104" ht="14.25" customHeight="1" x14ac:dyDescent="0.25">
      <c r="A662" s="3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3"/>
      <c r="CV662" s="3"/>
      <c r="CW662" s="3"/>
      <c r="CX662" s="3"/>
      <c r="CY662" s="3"/>
      <c r="CZ662" s="3"/>
    </row>
    <row r="663" spans="1:104" ht="14.25" customHeight="1" x14ac:dyDescent="0.25">
      <c r="A663" s="3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3"/>
      <c r="CV663" s="3"/>
      <c r="CW663" s="3"/>
      <c r="CX663" s="3"/>
      <c r="CY663" s="3"/>
      <c r="CZ663" s="3"/>
    </row>
    <row r="664" spans="1:104" ht="14.25" customHeight="1" x14ac:dyDescent="0.25">
      <c r="A664" s="3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3"/>
      <c r="CV664" s="3"/>
      <c r="CW664" s="3"/>
      <c r="CX664" s="3"/>
      <c r="CY664" s="3"/>
      <c r="CZ664" s="3"/>
    </row>
    <row r="665" spans="1:104" ht="14.25" customHeight="1" x14ac:dyDescent="0.25">
      <c r="A665" s="3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3"/>
      <c r="CV665" s="3"/>
      <c r="CW665" s="3"/>
      <c r="CX665" s="3"/>
      <c r="CY665" s="3"/>
      <c r="CZ665" s="3"/>
    </row>
    <row r="666" spans="1:104" ht="14.25" customHeight="1" x14ac:dyDescent="0.25">
      <c r="A666" s="3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3"/>
      <c r="CV666" s="3"/>
      <c r="CW666" s="3"/>
      <c r="CX666" s="3"/>
      <c r="CY666" s="3"/>
      <c r="CZ666" s="3"/>
    </row>
    <row r="667" spans="1:104" ht="14.25" customHeight="1" x14ac:dyDescent="0.25">
      <c r="A667" s="3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3"/>
      <c r="CV667" s="3"/>
      <c r="CW667" s="3"/>
      <c r="CX667" s="3"/>
      <c r="CY667" s="3"/>
      <c r="CZ667" s="3"/>
    </row>
    <row r="668" spans="1:104" ht="14.25" customHeight="1" x14ac:dyDescent="0.25">
      <c r="A668" s="3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3"/>
      <c r="CV668" s="3"/>
      <c r="CW668" s="3"/>
      <c r="CX668" s="3"/>
      <c r="CY668" s="3"/>
      <c r="CZ668" s="3"/>
    </row>
    <row r="669" spans="1:104" ht="14.25" customHeight="1" x14ac:dyDescent="0.25">
      <c r="A669" s="3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3"/>
      <c r="CV669" s="3"/>
      <c r="CW669" s="3"/>
      <c r="CX669" s="3"/>
      <c r="CY669" s="3"/>
      <c r="CZ669" s="3"/>
    </row>
    <row r="670" spans="1:104" ht="14.25" customHeight="1" x14ac:dyDescent="0.25">
      <c r="A670" s="3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3"/>
      <c r="CV670" s="3"/>
      <c r="CW670" s="3"/>
      <c r="CX670" s="3"/>
      <c r="CY670" s="3"/>
      <c r="CZ670" s="3"/>
    </row>
    <row r="671" spans="1:104" ht="14.25" customHeight="1" x14ac:dyDescent="0.25">
      <c r="A671" s="3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3"/>
      <c r="CV671" s="3"/>
      <c r="CW671" s="3"/>
      <c r="CX671" s="3"/>
      <c r="CY671" s="3"/>
      <c r="CZ671" s="3"/>
    </row>
    <row r="672" spans="1:104" ht="14.25" customHeight="1" x14ac:dyDescent="0.25">
      <c r="A672" s="3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3"/>
      <c r="CV672" s="3"/>
      <c r="CW672" s="3"/>
      <c r="CX672" s="3"/>
      <c r="CY672" s="3"/>
      <c r="CZ672" s="3"/>
    </row>
    <row r="673" spans="1:104" ht="14.25" customHeight="1" x14ac:dyDescent="0.25">
      <c r="A673" s="3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3"/>
      <c r="CV673" s="3"/>
      <c r="CW673" s="3"/>
      <c r="CX673" s="3"/>
      <c r="CY673" s="3"/>
      <c r="CZ673" s="3"/>
    </row>
    <row r="674" spans="1:104" ht="14.25" customHeight="1" x14ac:dyDescent="0.25">
      <c r="A674" s="3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3"/>
      <c r="CV674" s="3"/>
      <c r="CW674" s="3"/>
      <c r="CX674" s="3"/>
      <c r="CY674" s="3"/>
      <c r="CZ674" s="3"/>
    </row>
    <row r="675" spans="1:104" ht="14.25" customHeight="1" x14ac:dyDescent="0.25">
      <c r="A675" s="3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3"/>
      <c r="CV675" s="3"/>
      <c r="CW675" s="3"/>
      <c r="CX675" s="3"/>
      <c r="CY675" s="3"/>
      <c r="CZ675" s="3"/>
    </row>
    <row r="676" spans="1:104" ht="14.25" customHeight="1" x14ac:dyDescent="0.25">
      <c r="A676" s="3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3"/>
      <c r="CV676" s="3"/>
      <c r="CW676" s="3"/>
      <c r="CX676" s="3"/>
      <c r="CY676" s="3"/>
      <c r="CZ676" s="3"/>
    </row>
    <row r="677" spans="1:104" ht="14.25" customHeight="1" x14ac:dyDescent="0.25">
      <c r="A677" s="3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3"/>
      <c r="CV677" s="3"/>
      <c r="CW677" s="3"/>
      <c r="CX677" s="3"/>
      <c r="CY677" s="3"/>
      <c r="CZ677" s="3"/>
    </row>
    <row r="678" spans="1:104" ht="14.25" customHeight="1" x14ac:dyDescent="0.25">
      <c r="A678" s="3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3"/>
      <c r="CV678" s="3"/>
      <c r="CW678" s="3"/>
      <c r="CX678" s="3"/>
      <c r="CY678" s="3"/>
      <c r="CZ678" s="3"/>
    </row>
    <row r="679" spans="1:104" ht="14.25" customHeight="1" x14ac:dyDescent="0.25">
      <c r="A679" s="3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3"/>
      <c r="CV679" s="3"/>
      <c r="CW679" s="3"/>
      <c r="CX679" s="3"/>
      <c r="CY679" s="3"/>
      <c r="CZ679" s="3"/>
    </row>
    <row r="680" spans="1:104" ht="14.25" customHeight="1" x14ac:dyDescent="0.25">
      <c r="A680" s="3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3"/>
      <c r="CV680" s="3"/>
      <c r="CW680" s="3"/>
      <c r="CX680" s="3"/>
      <c r="CY680" s="3"/>
      <c r="CZ680" s="3"/>
    </row>
    <row r="681" spans="1:104" ht="14.25" customHeight="1" x14ac:dyDescent="0.25">
      <c r="A681" s="3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3"/>
      <c r="CV681" s="3"/>
      <c r="CW681" s="3"/>
      <c r="CX681" s="3"/>
      <c r="CY681" s="3"/>
      <c r="CZ681" s="3"/>
    </row>
    <row r="682" spans="1:104" ht="14.25" customHeight="1" x14ac:dyDescent="0.25">
      <c r="A682" s="3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3"/>
      <c r="CV682" s="3"/>
      <c r="CW682" s="3"/>
      <c r="CX682" s="3"/>
      <c r="CY682" s="3"/>
      <c r="CZ682" s="3"/>
    </row>
    <row r="683" spans="1:104" ht="14.25" customHeight="1" x14ac:dyDescent="0.25">
      <c r="A683" s="3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3"/>
      <c r="CV683" s="3"/>
      <c r="CW683" s="3"/>
      <c r="CX683" s="3"/>
      <c r="CY683" s="3"/>
      <c r="CZ683" s="3"/>
    </row>
    <row r="684" spans="1:104" ht="14.25" customHeight="1" x14ac:dyDescent="0.25">
      <c r="A684" s="3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3"/>
      <c r="CV684" s="3"/>
      <c r="CW684" s="3"/>
      <c r="CX684" s="3"/>
      <c r="CY684" s="3"/>
      <c r="CZ684" s="3"/>
    </row>
    <row r="685" spans="1:104" ht="14.25" customHeight="1" x14ac:dyDescent="0.25">
      <c r="A685" s="3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3"/>
      <c r="CV685" s="3"/>
      <c r="CW685" s="3"/>
      <c r="CX685" s="3"/>
      <c r="CY685" s="3"/>
      <c r="CZ685" s="3"/>
    </row>
    <row r="686" spans="1:104" ht="14.25" customHeight="1" x14ac:dyDescent="0.25">
      <c r="A686" s="3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3"/>
      <c r="CV686" s="3"/>
      <c r="CW686" s="3"/>
      <c r="CX686" s="3"/>
      <c r="CY686" s="3"/>
      <c r="CZ686" s="3"/>
    </row>
    <row r="687" spans="1:104" ht="14.25" customHeight="1" x14ac:dyDescent="0.25">
      <c r="A687" s="3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3"/>
      <c r="CV687" s="3"/>
      <c r="CW687" s="3"/>
      <c r="CX687" s="3"/>
      <c r="CY687" s="3"/>
      <c r="CZ687" s="3"/>
    </row>
    <row r="688" spans="1:104" ht="14.25" customHeight="1" x14ac:dyDescent="0.25">
      <c r="A688" s="3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3"/>
      <c r="CV688" s="3"/>
      <c r="CW688" s="3"/>
      <c r="CX688" s="3"/>
      <c r="CY688" s="3"/>
      <c r="CZ688" s="3"/>
    </row>
    <row r="689" spans="1:104" ht="14.25" customHeight="1" x14ac:dyDescent="0.25">
      <c r="A689" s="3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3"/>
      <c r="CV689" s="3"/>
      <c r="CW689" s="3"/>
      <c r="CX689" s="3"/>
      <c r="CY689" s="3"/>
      <c r="CZ689" s="3"/>
    </row>
    <row r="690" spans="1:104" ht="14.25" customHeight="1" x14ac:dyDescent="0.25">
      <c r="A690" s="3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3"/>
      <c r="CV690" s="3"/>
      <c r="CW690" s="3"/>
      <c r="CX690" s="3"/>
      <c r="CY690" s="3"/>
      <c r="CZ690" s="3"/>
    </row>
    <row r="691" spans="1:104" ht="14.25" customHeight="1" x14ac:dyDescent="0.25">
      <c r="A691" s="3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3"/>
      <c r="CV691" s="3"/>
      <c r="CW691" s="3"/>
      <c r="CX691" s="3"/>
      <c r="CY691" s="3"/>
      <c r="CZ691" s="3"/>
    </row>
    <row r="692" spans="1:104" ht="14.25" customHeight="1" x14ac:dyDescent="0.25">
      <c r="A692" s="3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3"/>
      <c r="CV692" s="3"/>
      <c r="CW692" s="3"/>
      <c r="CX692" s="3"/>
      <c r="CY692" s="3"/>
      <c r="CZ692" s="3"/>
    </row>
    <row r="693" spans="1:104" ht="14.25" customHeight="1" x14ac:dyDescent="0.25">
      <c r="A693" s="3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3"/>
      <c r="CV693" s="3"/>
      <c r="CW693" s="3"/>
      <c r="CX693" s="3"/>
      <c r="CY693" s="3"/>
      <c r="CZ693" s="3"/>
    </row>
    <row r="694" spans="1:104" ht="14.25" customHeight="1" x14ac:dyDescent="0.25">
      <c r="A694" s="3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3"/>
      <c r="CV694" s="3"/>
      <c r="CW694" s="3"/>
      <c r="CX694" s="3"/>
      <c r="CY694" s="3"/>
      <c r="CZ694" s="3"/>
    </row>
    <row r="695" spans="1:104" ht="14.25" customHeight="1" x14ac:dyDescent="0.25">
      <c r="A695" s="3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3"/>
      <c r="CV695" s="3"/>
      <c r="CW695" s="3"/>
      <c r="CX695" s="3"/>
      <c r="CY695" s="3"/>
      <c r="CZ695" s="3"/>
    </row>
    <row r="696" spans="1:104" ht="14.25" customHeight="1" x14ac:dyDescent="0.25">
      <c r="A696" s="3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3"/>
      <c r="CV696" s="3"/>
      <c r="CW696" s="3"/>
      <c r="CX696" s="3"/>
      <c r="CY696" s="3"/>
      <c r="CZ696" s="3"/>
    </row>
    <row r="697" spans="1:104" ht="14.25" customHeight="1" x14ac:dyDescent="0.25">
      <c r="A697" s="3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3"/>
      <c r="CV697" s="3"/>
      <c r="CW697" s="3"/>
      <c r="CX697" s="3"/>
      <c r="CY697" s="3"/>
      <c r="CZ697" s="3"/>
    </row>
    <row r="698" spans="1:104" ht="14.25" customHeight="1" x14ac:dyDescent="0.25">
      <c r="A698" s="3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3"/>
      <c r="CV698" s="3"/>
      <c r="CW698" s="3"/>
      <c r="CX698" s="3"/>
      <c r="CY698" s="3"/>
      <c r="CZ698" s="3"/>
    </row>
    <row r="699" spans="1:104" ht="14.25" customHeight="1" x14ac:dyDescent="0.25">
      <c r="A699" s="3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3"/>
      <c r="CV699" s="3"/>
      <c r="CW699" s="3"/>
      <c r="CX699" s="3"/>
      <c r="CY699" s="3"/>
      <c r="CZ699" s="3"/>
    </row>
    <row r="700" spans="1:104" ht="14.25" customHeight="1" x14ac:dyDescent="0.25">
      <c r="A700" s="3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3"/>
      <c r="CV700" s="3"/>
      <c r="CW700" s="3"/>
      <c r="CX700" s="3"/>
      <c r="CY700" s="3"/>
      <c r="CZ700" s="3"/>
    </row>
    <row r="701" spans="1:104" ht="14.25" customHeight="1" x14ac:dyDescent="0.25">
      <c r="A701" s="3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3"/>
      <c r="CV701" s="3"/>
      <c r="CW701" s="3"/>
      <c r="CX701" s="3"/>
      <c r="CY701" s="3"/>
      <c r="CZ701" s="3"/>
    </row>
    <row r="702" spans="1:104" ht="14.25" customHeight="1" x14ac:dyDescent="0.25">
      <c r="A702" s="3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3"/>
      <c r="CV702" s="3"/>
      <c r="CW702" s="3"/>
      <c r="CX702" s="3"/>
      <c r="CY702" s="3"/>
      <c r="CZ702" s="3"/>
    </row>
    <row r="703" spans="1:104" ht="14.25" customHeight="1" x14ac:dyDescent="0.25">
      <c r="A703" s="3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3"/>
      <c r="CV703" s="3"/>
      <c r="CW703" s="3"/>
      <c r="CX703" s="3"/>
      <c r="CY703" s="3"/>
      <c r="CZ703" s="3"/>
    </row>
    <row r="704" spans="1:104" ht="14.25" customHeight="1" x14ac:dyDescent="0.25">
      <c r="A704" s="3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3"/>
      <c r="CV704" s="3"/>
      <c r="CW704" s="3"/>
      <c r="CX704" s="3"/>
      <c r="CY704" s="3"/>
      <c r="CZ704" s="3"/>
    </row>
    <row r="705" spans="1:104" ht="14.25" customHeight="1" x14ac:dyDescent="0.25">
      <c r="A705" s="3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3"/>
      <c r="CV705" s="3"/>
      <c r="CW705" s="3"/>
      <c r="CX705" s="3"/>
      <c r="CY705" s="3"/>
      <c r="CZ705" s="3"/>
    </row>
    <row r="706" spans="1:104" ht="14.25" customHeight="1" x14ac:dyDescent="0.25">
      <c r="A706" s="3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3"/>
      <c r="CV706" s="3"/>
      <c r="CW706" s="3"/>
      <c r="CX706" s="3"/>
      <c r="CY706" s="3"/>
      <c r="CZ706" s="3"/>
    </row>
    <row r="707" spans="1:104" ht="14.25" customHeight="1" x14ac:dyDescent="0.25">
      <c r="A707" s="3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3"/>
      <c r="CV707" s="3"/>
      <c r="CW707" s="3"/>
      <c r="CX707" s="3"/>
      <c r="CY707" s="3"/>
      <c r="CZ707" s="3"/>
    </row>
    <row r="708" spans="1:104" ht="14.25" customHeight="1" x14ac:dyDescent="0.25">
      <c r="A708" s="3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3"/>
      <c r="CV708" s="3"/>
      <c r="CW708" s="3"/>
      <c r="CX708" s="3"/>
      <c r="CY708" s="3"/>
      <c r="CZ708" s="3"/>
    </row>
    <row r="709" spans="1:104" ht="14.25" customHeight="1" x14ac:dyDescent="0.25">
      <c r="A709" s="3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3"/>
      <c r="CV709" s="3"/>
      <c r="CW709" s="3"/>
      <c r="CX709" s="3"/>
      <c r="CY709" s="3"/>
      <c r="CZ709" s="3"/>
    </row>
    <row r="710" spans="1:104" ht="14.25" customHeight="1" x14ac:dyDescent="0.25">
      <c r="A710" s="3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3"/>
      <c r="CV710" s="3"/>
      <c r="CW710" s="3"/>
      <c r="CX710" s="3"/>
      <c r="CY710" s="3"/>
      <c r="CZ710" s="3"/>
    </row>
    <row r="711" spans="1:104" ht="14.25" customHeight="1" x14ac:dyDescent="0.25">
      <c r="A711" s="3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3"/>
      <c r="CV711" s="3"/>
      <c r="CW711" s="3"/>
      <c r="CX711" s="3"/>
      <c r="CY711" s="3"/>
      <c r="CZ711" s="3"/>
    </row>
    <row r="712" spans="1:104" ht="14.25" customHeight="1" x14ac:dyDescent="0.25">
      <c r="A712" s="3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3"/>
      <c r="CV712" s="3"/>
      <c r="CW712" s="3"/>
      <c r="CX712" s="3"/>
      <c r="CY712" s="3"/>
      <c r="CZ712" s="3"/>
    </row>
    <row r="713" spans="1:104" ht="14.25" customHeight="1" x14ac:dyDescent="0.25">
      <c r="A713" s="3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3"/>
      <c r="CV713" s="3"/>
      <c r="CW713" s="3"/>
      <c r="CX713" s="3"/>
      <c r="CY713" s="3"/>
      <c r="CZ713" s="3"/>
    </row>
    <row r="714" spans="1:104" ht="14.25" customHeight="1" x14ac:dyDescent="0.25">
      <c r="A714" s="3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3"/>
      <c r="CV714" s="3"/>
      <c r="CW714" s="3"/>
      <c r="CX714" s="3"/>
      <c r="CY714" s="3"/>
      <c r="CZ714" s="3"/>
    </row>
    <row r="715" spans="1:104" ht="14.25" customHeight="1" x14ac:dyDescent="0.25">
      <c r="A715" s="3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3"/>
      <c r="CV715" s="3"/>
      <c r="CW715" s="3"/>
      <c r="CX715" s="3"/>
      <c r="CY715" s="3"/>
      <c r="CZ715" s="3"/>
    </row>
    <row r="716" spans="1:104" ht="14.25" customHeight="1" x14ac:dyDescent="0.25">
      <c r="A716" s="3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3"/>
      <c r="CV716" s="3"/>
      <c r="CW716" s="3"/>
      <c r="CX716" s="3"/>
      <c r="CY716" s="3"/>
      <c r="CZ716" s="3"/>
    </row>
    <row r="717" spans="1:104" ht="14.25" customHeight="1" x14ac:dyDescent="0.25">
      <c r="A717" s="3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3"/>
      <c r="CV717" s="3"/>
      <c r="CW717" s="3"/>
      <c r="CX717" s="3"/>
      <c r="CY717" s="3"/>
      <c r="CZ717" s="3"/>
    </row>
    <row r="718" spans="1:104" ht="14.25" customHeight="1" x14ac:dyDescent="0.25">
      <c r="A718" s="3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3"/>
      <c r="CV718" s="3"/>
      <c r="CW718" s="3"/>
      <c r="CX718" s="3"/>
      <c r="CY718" s="3"/>
      <c r="CZ718" s="3"/>
    </row>
    <row r="719" spans="1:104" ht="14.25" customHeight="1" x14ac:dyDescent="0.25">
      <c r="A719" s="3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3"/>
      <c r="CV719" s="3"/>
      <c r="CW719" s="3"/>
      <c r="CX719" s="3"/>
      <c r="CY719" s="3"/>
      <c r="CZ719" s="3"/>
    </row>
    <row r="720" spans="1:104" ht="14.25" customHeight="1" x14ac:dyDescent="0.25">
      <c r="A720" s="3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3"/>
      <c r="CV720" s="3"/>
      <c r="CW720" s="3"/>
      <c r="CX720" s="3"/>
      <c r="CY720" s="3"/>
      <c r="CZ720" s="3"/>
    </row>
    <row r="721" spans="1:104" ht="14.25" customHeight="1" x14ac:dyDescent="0.25">
      <c r="A721" s="3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3"/>
      <c r="CV721" s="3"/>
      <c r="CW721" s="3"/>
      <c r="CX721" s="3"/>
      <c r="CY721" s="3"/>
      <c r="CZ721" s="3"/>
    </row>
    <row r="722" spans="1:104" ht="14.25" customHeight="1" x14ac:dyDescent="0.25">
      <c r="A722" s="3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3"/>
      <c r="CV722" s="3"/>
      <c r="CW722" s="3"/>
      <c r="CX722" s="3"/>
      <c r="CY722" s="3"/>
      <c r="CZ722" s="3"/>
    </row>
    <row r="723" spans="1:104" ht="14.25" customHeight="1" x14ac:dyDescent="0.25">
      <c r="A723" s="3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3"/>
      <c r="CV723" s="3"/>
      <c r="CW723" s="3"/>
      <c r="CX723" s="3"/>
      <c r="CY723" s="3"/>
      <c r="CZ723" s="3"/>
    </row>
    <row r="724" spans="1:104" ht="14.25" customHeight="1" x14ac:dyDescent="0.25">
      <c r="A724" s="3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3"/>
      <c r="CV724" s="3"/>
      <c r="CW724" s="3"/>
      <c r="CX724" s="3"/>
      <c r="CY724" s="3"/>
      <c r="CZ724" s="3"/>
    </row>
    <row r="725" spans="1:104" ht="14.25" customHeight="1" x14ac:dyDescent="0.25">
      <c r="A725" s="3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3"/>
      <c r="CV725" s="3"/>
      <c r="CW725" s="3"/>
      <c r="CX725" s="3"/>
      <c r="CY725" s="3"/>
      <c r="CZ725" s="3"/>
    </row>
    <row r="726" spans="1:104" ht="14.25" customHeight="1" x14ac:dyDescent="0.25">
      <c r="A726" s="3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3"/>
      <c r="CV726" s="3"/>
      <c r="CW726" s="3"/>
      <c r="CX726" s="3"/>
      <c r="CY726" s="3"/>
      <c r="CZ726" s="3"/>
    </row>
    <row r="727" spans="1:104" ht="14.25" customHeight="1" x14ac:dyDescent="0.25">
      <c r="A727" s="3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3"/>
      <c r="CV727" s="3"/>
      <c r="CW727" s="3"/>
      <c r="CX727" s="3"/>
      <c r="CY727" s="3"/>
      <c r="CZ727" s="3"/>
    </row>
    <row r="728" spans="1:104" ht="14.25" customHeight="1" x14ac:dyDescent="0.25">
      <c r="A728" s="3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3"/>
      <c r="CV728" s="3"/>
      <c r="CW728" s="3"/>
      <c r="CX728" s="3"/>
      <c r="CY728" s="3"/>
      <c r="CZ728" s="3"/>
    </row>
    <row r="729" spans="1:104" ht="14.25" customHeight="1" x14ac:dyDescent="0.25">
      <c r="A729" s="3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3"/>
      <c r="CV729" s="3"/>
      <c r="CW729" s="3"/>
      <c r="CX729" s="3"/>
      <c r="CY729" s="3"/>
      <c r="CZ729" s="3"/>
    </row>
    <row r="730" spans="1:104" ht="14.25" customHeight="1" x14ac:dyDescent="0.25">
      <c r="A730" s="3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3"/>
      <c r="CV730" s="3"/>
      <c r="CW730" s="3"/>
      <c r="CX730" s="3"/>
      <c r="CY730" s="3"/>
      <c r="CZ730" s="3"/>
    </row>
    <row r="731" spans="1:104" ht="14.25" customHeight="1" x14ac:dyDescent="0.25">
      <c r="A731" s="3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3"/>
      <c r="CV731" s="3"/>
      <c r="CW731" s="3"/>
      <c r="CX731" s="3"/>
      <c r="CY731" s="3"/>
      <c r="CZ731" s="3"/>
    </row>
    <row r="732" spans="1:104" ht="14.25" customHeight="1" x14ac:dyDescent="0.25">
      <c r="A732" s="3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3"/>
      <c r="CV732" s="3"/>
      <c r="CW732" s="3"/>
      <c r="CX732" s="3"/>
      <c r="CY732" s="3"/>
      <c r="CZ732" s="3"/>
    </row>
    <row r="733" spans="1:104" ht="14.25" customHeight="1" x14ac:dyDescent="0.25">
      <c r="A733" s="3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3"/>
      <c r="CV733" s="3"/>
      <c r="CW733" s="3"/>
      <c r="CX733" s="3"/>
      <c r="CY733" s="3"/>
      <c r="CZ733" s="3"/>
    </row>
    <row r="734" spans="1:104" ht="14.25" customHeight="1" x14ac:dyDescent="0.25">
      <c r="A734" s="3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3"/>
      <c r="CV734" s="3"/>
      <c r="CW734" s="3"/>
      <c r="CX734" s="3"/>
      <c r="CY734" s="3"/>
      <c r="CZ734" s="3"/>
    </row>
    <row r="735" spans="1:104" ht="14.25" customHeight="1" x14ac:dyDescent="0.25">
      <c r="A735" s="3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3"/>
      <c r="CV735" s="3"/>
      <c r="CW735" s="3"/>
      <c r="CX735" s="3"/>
      <c r="CY735" s="3"/>
      <c r="CZ735" s="3"/>
    </row>
    <row r="736" spans="1:104" ht="14.25" customHeight="1" x14ac:dyDescent="0.25">
      <c r="A736" s="3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3"/>
      <c r="CV736" s="3"/>
      <c r="CW736" s="3"/>
      <c r="CX736" s="3"/>
      <c r="CY736" s="3"/>
      <c r="CZ736" s="3"/>
    </row>
    <row r="737" spans="1:104" ht="14.25" customHeight="1" x14ac:dyDescent="0.25">
      <c r="A737" s="3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3"/>
      <c r="CV737" s="3"/>
      <c r="CW737" s="3"/>
      <c r="CX737" s="3"/>
      <c r="CY737" s="3"/>
      <c r="CZ737" s="3"/>
    </row>
    <row r="738" spans="1:104" ht="14.25" customHeight="1" x14ac:dyDescent="0.25">
      <c r="A738" s="3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3"/>
      <c r="CV738" s="3"/>
      <c r="CW738" s="3"/>
      <c r="CX738" s="3"/>
      <c r="CY738" s="3"/>
      <c r="CZ738" s="3"/>
    </row>
    <row r="739" spans="1:104" ht="14.25" customHeight="1" x14ac:dyDescent="0.25">
      <c r="A739" s="3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3"/>
      <c r="CV739" s="3"/>
      <c r="CW739" s="3"/>
      <c r="CX739" s="3"/>
      <c r="CY739" s="3"/>
      <c r="CZ739" s="3"/>
    </row>
    <row r="740" spans="1:104" ht="14.25" customHeight="1" x14ac:dyDescent="0.25">
      <c r="A740" s="3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3"/>
      <c r="CV740" s="3"/>
      <c r="CW740" s="3"/>
      <c r="CX740" s="3"/>
      <c r="CY740" s="3"/>
      <c r="CZ740" s="3"/>
    </row>
    <row r="741" spans="1:104" ht="14.25" customHeight="1" x14ac:dyDescent="0.25">
      <c r="A741" s="3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3"/>
      <c r="CV741" s="3"/>
      <c r="CW741" s="3"/>
      <c r="CX741" s="3"/>
      <c r="CY741" s="3"/>
      <c r="CZ741" s="3"/>
    </row>
    <row r="742" spans="1:104" ht="14.25" customHeight="1" x14ac:dyDescent="0.25">
      <c r="A742" s="3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3"/>
      <c r="CV742" s="3"/>
      <c r="CW742" s="3"/>
      <c r="CX742" s="3"/>
      <c r="CY742" s="3"/>
      <c r="CZ742" s="3"/>
    </row>
    <row r="743" spans="1:104" ht="14.25" customHeight="1" x14ac:dyDescent="0.25">
      <c r="A743" s="3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3"/>
      <c r="CV743" s="3"/>
      <c r="CW743" s="3"/>
      <c r="CX743" s="3"/>
      <c r="CY743" s="3"/>
      <c r="CZ743" s="3"/>
    </row>
    <row r="744" spans="1:104" ht="14.25" customHeight="1" x14ac:dyDescent="0.25">
      <c r="A744" s="3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3"/>
      <c r="CV744" s="3"/>
      <c r="CW744" s="3"/>
      <c r="CX744" s="3"/>
      <c r="CY744" s="3"/>
      <c r="CZ744" s="3"/>
    </row>
    <row r="745" spans="1:104" ht="14.25" customHeight="1" x14ac:dyDescent="0.25">
      <c r="A745" s="3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3"/>
      <c r="CV745" s="3"/>
      <c r="CW745" s="3"/>
      <c r="CX745" s="3"/>
      <c r="CY745" s="3"/>
      <c r="CZ745" s="3"/>
    </row>
    <row r="746" spans="1:104" ht="14.25" customHeight="1" x14ac:dyDescent="0.25">
      <c r="A746" s="3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3"/>
      <c r="CV746" s="3"/>
      <c r="CW746" s="3"/>
      <c r="CX746" s="3"/>
      <c r="CY746" s="3"/>
      <c r="CZ746" s="3"/>
    </row>
    <row r="747" spans="1:104" ht="14.25" customHeight="1" x14ac:dyDescent="0.25">
      <c r="A747" s="3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3"/>
      <c r="CV747" s="3"/>
      <c r="CW747" s="3"/>
      <c r="CX747" s="3"/>
      <c r="CY747" s="3"/>
      <c r="CZ747" s="3"/>
    </row>
    <row r="748" spans="1:104" ht="14.25" customHeight="1" x14ac:dyDescent="0.25">
      <c r="A748" s="3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3"/>
      <c r="CV748" s="3"/>
      <c r="CW748" s="3"/>
      <c r="CX748" s="3"/>
      <c r="CY748" s="3"/>
      <c r="CZ748" s="3"/>
    </row>
    <row r="749" spans="1:104" ht="14.25" customHeight="1" x14ac:dyDescent="0.25">
      <c r="A749" s="3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3"/>
      <c r="CV749" s="3"/>
      <c r="CW749" s="3"/>
      <c r="CX749" s="3"/>
      <c r="CY749" s="3"/>
      <c r="CZ749" s="3"/>
    </row>
    <row r="750" spans="1:104" ht="14.25" customHeight="1" x14ac:dyDescent="0.25">
      <c r="A750" s="3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3"/>
      <c r="CV750" s="3"/>
      <c r="CW750" s="3"/>
      <c r="CX750" s="3"/>
      <c r="CY750" s="3"/>
      <c r="CZ750" s="3"/>
    </row>
    <row r="751" spans="1:104" ht="14.25" customHeight="1" x14ac:dyDescent="0.25">
      <c r="A751" s="3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3"/>
      <c r="CV751" s="3"/>
      <c r="CW751" s="3"/>
      <c r="CX751" s="3"/>
      <c r="CY751" s="3"/>
      <c r="CZ751" s="3"/>
    </row>
    <row r="752" spans="1:104" ht="14.25" customHeight="1" x14ac:dyDescent="0.25">
      <c r="A752" s="3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3"/>
      <c r="CV752" s="3"/>
      <c r="CW752" s="3"/>
      <c r="CX752" s="3"/>
      <c r="CY752" s="3"/>
      <c r="CZ752" s="3"/>
    </row>
    <row r="753" spans="1:104" ht="14.25" customHeight="1" x14ac:dyDescent="0.25">
      <c r="A753" s="3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3"/>
      <c r="CV753" s="3"/>
      <c r="CW753" s="3"/>
      <c r="CX753" s="3"/>
      <c r="CY753" s="3"/>
      <c r="CZ753" s="3"/>
    </row>
    <row r="754" spans="1:104" ht="14.25" customHeight="1" x14ac:dyDescent="0.25">
      <c r="A754" s="3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3"/>
      <c r="CV754" s="3"/>
      <c r="CW754" s="3"/>
      <c r="CX754" s="3"/>
      <c r="CY754" s="3"/>
      <c r="CZ754" s="3"/>
    </row>
    <row r="755" spans="1:104" ht="14.25" customHeight="1" x14ac:dyDescent="0.25">
      <c r="A755" s="3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3"/>
      <c r="CV755" s="3"/>
      <c r="CW755" s="3"/>
      <c r="CX755" s="3"/>
      <c r="CY755" s="3"/>
      <c r="CZ755" s="3"/>
    </row>
    <row r="756" spans="1:104" ht="14.25" customHeight="1" x14ac:dyDescent="0.25">
      <c r="A756" s="3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3"/>
      <c r="CV756" s="3"/>
      <c r="CW756" s="3"/>
      <c r="CX756" s="3"/>
      <c r="CY756" s="3"/>
      <c r="CZ756" s="3"/>
    </row>
    <row r="757" spans="1:104" ht="14.25" customHeight="1" x14ac:dyDescent="0.25">
      <c r="A757" s="3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3"/>
      <c r="CV757" s="3"/>
      <c r="CW757" s="3"/>
      <c r="CX757" s="3"/>
      <c r="CY757" s="3"/>
      <c r="CZ757" s="3"/>
    </row>
    <row r="758" spans="1:104" ht="14.25" customHeight="1" x14ac:dyDescent="0.25">
      <c r="A758" s="3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3"/>
      <c r="CV758" s="3"/>
      <c r="CW758" s="3"/>
      <c r="CX758" s="3"/>
      <c r="CY758" s="3"/>
      <c r="CZ758" s="3"/>
    </row>
    <row r="759" spans="1:104" ht="14.25" customHeight="1" x14ac:dyDescent="0.25">
      <c r="A759" s="3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3"/>
      <c r="CV759" s="3"/>
      <c r="CW759" s="3"/>
      <c r="CX759" s="3"/>
      <c r="CY759" s="3"/>
      <c r="CZ759" s="3"/>
    </row>
    <row r="760" spans="1:104" ht="14.25" customHeight="1" x14ac:dyDescent="0.25">
      <c r="A760" s="3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3"/>
      <c r="CV760" s="3"/>
      <c r="CW760" s="3"/>
      <c r="CX760" s="3"/>
      <c r="CY760" s="3"/>
      <c r="CZ760" s="3"/>
    </row>
    <row r="761" spans="1:104" ht="14.25" customHeight="1" x14ac:dyDescent="0.25">
      <c r="A761" s="3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3"/>
      <c r="CV761" s="3"/>
      <c r="CW761" s="3"/>
      <c r="CX761" s="3"/>
      <c r="CY761" s="3"/>
      <c r="CZ761" s="3"/>
    </row>
    <row r="762" spans="1:104" ht="14.25" customHeight="1" x14ac:dyDescent="0.25">
      <c r="A762" s="3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3"/>
      <c r="CV762" s="3"/>
      <c r="CW762" s="3"/>
      <c r="CX762" s="3"/>
      <c r="CY762" s="3"/>
      <c r="CZ762" s="3"/>
    </row>
    <row r="763" spans="1:104" ht="14.25" customHeight="1" x14ac:dyDescent="0.25">
      <c r="A763" s="3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3"/>
      <c r="CV763" s="3"/>
      <c r="CW763" s="3"/>
      <c r="CX763" s="3"/>
      <c r="CY763" s="3"/>
      <c r="CZ763" s="3"/>
    </row>
    <row r="764" spans="1:104" ht="14.25" customHeight="1" x14ac:dyDescent="0.25">
      <c r="A764" s="3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3"/>
      <c r="CV764" s="3"/>
      <c r="CW764" s="3"/>
      <c r="CX764" s="3"/>
      <c r="CY764" s="3"/>
      <c r="CZ764" s="3"/>
    </row>
    <row r="765" spans="1:104" ht="14.25" customHeight="1" x14ac:dyDescent="0.25">
      <c r="A765" s="3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3"/>
      <c r="CV765" s="3"/>
      <c r="CW765" s="3"/>
      <c r="CX765" s="3"/>
      <c r="CY765" s="3"/>
      <c r="CZ765" s="3"/>
    </row>
    <row r="766" spans="1:104" ht="14.25" customHeight="1" x14ac:dyDescent="0.25">
      <c r="A766" s="3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3"/>
      <c r="CV766" s="3"/>
      <c r="CW766" s="3"/>
      <c r="CX766" s="3"/>
      <c r="CY766" s="3"/>
      <c r="CZ766" s="3"/>
    </row>
    <row r="767" spans="1:104" ht="14.25" customHeight="1" x14ac:dyDescent="0.25">
      <c r="A767" s="3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3"/>
      <c r="CV767" s="3"/>
      <c r="CW767" s="3"/>
      <c r="CX767" s="3"/>
      <c r="CY767" s="3"/>
      <c r="CZ767" s="3"/>
    </row>
    <row r="768" spans="1:104" ht="14.25" customHeight="1" x14ac:dyDescent="0.25">
      <c r="A768" s="3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3"/>
      <c r="CV768" s="3"/>
      <c r="CW768" s="3"/>
      <c r="CX768" s="3"/>
      <c r="CY768" s="3"/>
      <c r="CZ768" s="3"/>
    </row>
    <row r="769" spans="1:104" ht="14.25" customHeight="1" x14ac:dyDescent="0.25">
      <c r="A769" s="3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3"/>
      <c r="CV769" s="3"/>
      <c r="CW769" s="3"/>
      <c r="CX769" s="3"/>
      <c r="CY769" s="3"/>
      <c r="CZ769" s="3"/>
    </row>
    <row r="770" spans="1:104" ht="14.25" customHeight="1" x14ac:dyDescent="0.25">
      <c r="A770" s="3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3"/>
      <c r="CV770" s="3"/>
      <c r="CW770" s="3"/>
      <c r="CX770" s="3"/>
      <c r="CY770" s="3"/>
      <c r="CZ770" s="3"/>
    </row>
    <row r="771" spans="1:104" ht="14.25" customHeight="1" x14ac:dyDescent="0.25">
      <c r="A771" s="3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3"/>
      <c r="CV771" s="3"/>
      <c r="CW771" s="3"/>
      <c r="CX771" s="3"/>
      <c r="CY771" s="3"/>
      <c r="CZ771" s="3"/>
    </row>
    <row r="772" spans="1:104" ht="14.25" customHeight="1" x14ac:dyDescent="0.25">
      <c r="A772" s="3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3"/>
      <c r="CV772" s="3"/>
      <c r="CW772" s="3"/>
      <c r="CX772" s="3"/>
      <c r="CY772" s="3"/>
      <c r="CZ772" s="3"/>
    </row>
    <row r="773" spans="1:104" ht="14.25" customHeight="1" x14ac:dyDescent="0.25">
      <c r="A773" s="3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3"/>
      <c r="CV773" s="3"/>
      <c r="CW773" s="3"/>
      <c r="CX773" s="3"/>
      <c r="CY773" s="3"/>
      <c r="CZ773" s="3"/>
    </row>
    <row r="774" spans="1:104" ht="14.25" customHeight="1" x14ac:dyDescent="0.25">
      <c r="A774" s="3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3"/>
      <c r="CV774" s="3"/>
      <c r="CW774" s="3"/>
      <c r="CX774" s="3"/>
      <c r="CY774" s="3"/>
      <c r="CZ774" s="3"/>
    </row>
    <row r="775" spans="1:104" ht="14.25" customHeight="1" x14ac:dyDescent="0.25">
      <c r="A775" s="3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3"/>
      <c r="CV775" s="3"/>
      <c r="CW775" s="3"/>
      <c r="CX775" s="3"/>
      <c r="CY775" s="3"/>
      <c r="CZ775" s="3"/>
    </row>
    <row r="776" spans="1:104" ht="14.25" customHeight="1" x14ac:dyDescent="0.25">
      <c r="A776" s="3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3"/>
      <c r="CV776" s="3"/>
      <c r="CW776" s="3"/>
      <c r="CX776" s="3"/>
      <c r="CY776" s="3"/>
      <c r="CZ776" s="3"/>
    </row>
    <row r="777" spans="1:104" ht="14.25" customHeight="1" x14ac:dyDescent="0.25">
      <c r="A777" s="3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3"/>
      <c r="CV777" s="3"/>
      <c r="CW777" s="3"/>
      <c r="CX777" s="3"/>
      <c r="CY777" s="3"/>
      <c r="CZ777" s="3"/>
    </row>
    <row r="778" spans="1:104" ht="14.25" customHeight="1" x14ac:dyDescent="0.25">
      <c r="A778" s="3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3"/>
      <c r="CV778" s="3"/>
      <c r="CW778" s="3"/>
      <c r="CX778" s="3"/>
      <c r="CY778" s="3"/>
      <c r="CZ778" s="3"/>
    </row>
    <row r="779" spans="1:104" ht="14.25" customHeight="1" x14ac:dyDescent="0.25">
      <c r="A779" s="3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3"/>
      <c r="CV779" s="3"/>
      <c r="CW779" s="3"/>
      <c r="CX779" s="3"/>
      <c r="CY779" s="3"/>
      <c r="CZ779" s="3"/>
    </row>
    <row r="780" spans="1:104" ht="14.25" customHeight="1" x14ac:dyDescent="0.25">
      <c r="A780" s="3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3"/>
      <c r="CV780" s="3"/>
      <c r="CW780" s="3"/>
      <c r="CX780" s="3"/>
      <c r="CY780" s="3"/>
      <c r="CZ780" s="3"/>
    </row>
    <row r="781" spans="1:104" ht="14.25" customHeight="1" x14ac:dyDescent="0.25">
      <c r="A781" s="3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3"/>
      <c r="CV781" s="3"/>
      <c r="CW781" s="3"/>
      <c r="CX781" s="3"/>
      <c r="CY781" s="3"/>
      <c r="CZ781" s="3"/>
    </row>
    <row r="782" spans="1:104" ht="14.25" customHeight="1" x14ac:dyDescent="0.25">
      <c r="A782" s="3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3"/>
      <c r="CV782" s="3"/>
      <c r="CW782" s="3"/>
      <c r="CX782" s="3"/>
      <c r="CY782" s="3"/>
      <c r="CZ782" s="3"/>
    </row>
    <row r="783" spans="1:104" ht="14.25" customHeight="1" x14ac:dyDescent="0.25">
      <c r="A783" s="3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3"/>
      <c r="CV783" s="3"/>
      <c r="CW783" s="3"/>
      <c r="CX783" s="3"/>
      <c r="CY783" s="3"/>
      <c r="CZ783" s="3"/>
    </row>
    <row r="784" spans="1:104" ht="14.25" customHeight="1" x14ac:dyDescent="0.25">
      <c r="A784" s="3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3"/>
      <c r="CV784" s="3"/>
      <c r="CW784" s="3"/>
      <c r="CX784" s="3"/>
      <c r="CY784" s="3"/>
      <c r="CZ784" s="3"/>
    </row>
    <row r="785" spans="1:104" ht="14.25" customHeight="1" x14ac:dyDescent="0.25">
      <c r="A785" s="3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3"/>
      <c r="CV785" s="3"/>
      <c r="CW785" s="3"/>
      <c r="CX785" s="3"/>
      <c r="CY785" s="3"/>
      <c r="CZ785" s="3"/>
    </row>
    <row r="786" spans="1:104" ht="14.25" customHeight="1" x14ac:dyDescent="0.25">
      <c r="A786" s="3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3"/>
      <c r="CV786" s="3"/>
      <c r="CW786" s="3"/>
      <c r="CX786" s="3"/>
      <c r="CY786" s="3"/>
      <c r="CZ786" s="3"/>
    </row>
    <row r="787" spans="1:104" ht="14.25" customHeight="1" x14ac:dyDescent="0.25">
      <c r="A787" s="3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3"/>
      <c r="CV787" s="3"/>
      <c r="CW787" s="3"/>
      <c r="CX787" s="3"/>
      <c r="CY787" s="3"/>
      <c r="CZ787" s="3"/>
    </row>
    <row r="788" spans="1:104" ht="14.25" customHeight="1" x14ac:dyDescent="0.25">
      <c r="A788" s="3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3"/>
      <c r="CV788" s="3"/>
      <c r="CW788" s="3"/>
      <c r="CX788" s="3"/>
      <c r="CY788" s="3"/>
      <c r="CZ788" s="3"/>
    </row>
    <row r="789" spans="1:104" ht="14.25" customHeight="1" x14ac:dyDescent="0.25">
      <c r="A789" s="3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3"/>
      <c r="CV789" s="3"/>
      <c r="CW789" s="3"/>
      <c r="CX789" s="3"/>
      <c r="CY789" s="3"/>
      <c r="CZ789" s="3"/>
    </row>
    <row r="790" spans="1:104" ht="14.25" customHeight="1" x14ac:dyDescent="0.25">
      <c r="A790" s="3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3"/>
      <c r="CV790" s="3"/>
      <c r="CW790" s="3"/>
      <c r="CX790" s="3"/>
      <c r="CY790" s="3"/>
      <c r="CZ790" s="3"/>
    </row>
    <row r="791" spans="1:104" ht="14.25" customHeight="1" x14ac:dyDescent="0.25">
      <c r="A791" s="3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3"/>
      <c r="CV791" s="3"/>
      <c r="CW791" s="3"/>
      <c r="CX791" s="3"/>
      <c r="CY791" s="3"/>
      <c r="CZ791" s="3"/>
    </row>
    <row r="792" spans="1:104" ht="14.25" customHeight="1" x14ac:dyDescent="0.25">
      <c r="A792" s="3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3"/>
      <c r="CV792" s="3"/>
      <c r="CW792" s="3"/>
      <c r="CX792" s="3"/>
      <c r="CY792" s="3"/>
      <c r="CZ792" s="3"/>
    </row>
    <row r="793" spans="1:104" ht="14.25" customHeight="1" x14ac:dyDescent="0.25">
      <c r="A793" s="3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3"/>
      <c r="CV793" s="3"/>
      <c r="CW793" s="3"/>
      <c r="CX793" s="3"/>
      <c r="CY793" s="3"/>
      <c r="CZ793" s="3"/>
    </row>
    <row r="794" spans="1:104" ht="14.25" customHeight="1" x14ac:dyDescent="0.25">
      <c r="A794" s="3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3"/>
      <c r="CV794" s="3"/>
      <c r="CW794" s="3"/>
      <c r="CX794" s="3"/>
      <c r="CY794" s="3"/>
      <c r="CZ794" s="3"/>
    </row>
    <row r="795" spans="1:104" ht="14.25" customHeight="1" x14ac:dyDescent="0.25">
      <c r="A795" s="3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3"/>
      <c r="CV795" s="3"/>
      <c r="CW795" s="3"/>
      <c r="CX795" s="3"/>
      <c r="CY795" s="3"/>
      <c r="CZ795" s="3"/>
    </row>
    <row r="796" spans="1:104" ht="14.25" customHeight="1" x14ac:dyDescent="0.25">
      <c r="A796" s="3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3"/>
      <c r="CV796" s="3"/>
      <c r="CW796" s="3"/>
      <c r="CX796" s="3"/>
      <c r="CY796" s="3"/>
      <c r="CZ796" s="3"/>
    </row>
    <row r="797" spans="1:104" ht="14.25" customHeight="1" x14ac:dyDescent="0.25">
      <c r="A797" s="3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3"/>
      <c r="CV797" s="3"/>
      <c r="CW797" s="3"/>
      <c r="CX797" s="3"/>
      <c r="CY797" s="3"/>
      <c r="CZ797" s="3"/>
    </row>
    <row r="798" spans="1:104" ht="14.25" customHeight="1" x14ac:dyDescent="0.25">
      <c r="A798" s="3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3"/>
      <c r="CV798" s="3"/>
      <c r="CW798" s="3"/>
      <c r="CX798" s="3"/>
      <c r="CY798" s="3"/>
      <c r="CZ798" s="3"/>
    </row>
    <row r="799" spans="1:104" ht="14.25" customHeight="1" x14ac:dyDescent="0.25">
      <c r="A799" s="3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3"/>
      <c r="CV799" s="3"/>
      <c r="CW799" s="3"/>
      <c r="CX799" s="3"/>
      <c r="CY799" s="3"/>
      <c r="CZ799" s="3"/>
    </row>
    <row r="800" spans="1:104" ht="14.25" customHeight="1" x14ac:dyDescent="0.25">
      <c r="A800" s="3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3"/>
      <c r="CV800" s="3"/>
      <c r="CW800" s="3"/>
      <c r="CX800" s="3"/>
      <c r="CY800" s="3"/>
      <c r="CZ800" s="3"/>
    </row>
    <row r="801" spans="1:104" ht="14.25" customHeight="1" x14ac:dyDescent="0.25">
      <c r="A801" s="3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3"/>
      <c r="CV801" s="3"/>
      <c r="CW801" s="3"/>
      <c r="CX801" s="3"/>
      <c r="CY801" s="3"/>
      <c r="CZ801" s="3"/>
    </row>
    <row r="802" spans="1:104" ht="14.25" customHeight="1" x14ac:dyDescent="0.25">
      <c r="A802" s="3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3"/>
      <c r="CV802" s="3"/>
      <c r="CW802" s="3"/>
      <c r="CX802" s="3"/>
      <c r="CY802" s="3"/>
      <c r="CZ802" s="3"/>
    </row>
    <row r="803" spans="1:104" ht="14.25" customHeight="1" x14ac:dyDescent="0.25">
      <c r="A803" s="3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3"/>
      <c r="CV803" s="3"/>
      <c r="CW803" s="3"/>
      <c r="CX803" s="3"/>
      <c r="CY803" s="3"/>
      <c r="CZ803" s="3"/>
    </row>
    <row r="804" spans="1:104" ht="14.25" customHeight="1" x14ac:dyDescent="0.25">
      <c r="A804" s="3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3"/>
      <c r="CV804" s="3"/>
      <c r="CW804" s="3"/>
      <c r="CX804" s="3"/>
      <c r="CY804" s="3"/>
      <c r="CZ804" s="3"/>
    </row>
    <row r="805" spans="1:104" ht="14.25" customHeight="1" x14ac:dyDescent="0.25">
      <c r="A805" s="3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3"/>
      <c r="CV805" s="3"/>
      <c r="CW805" s="3"/>
      <c r="CX805" s="3"/>
      <c r="CY805" s="3"/>
      <c r="CZ805" s="3"/>
    </row>
    <row r="806" spans="1:104" ht="14.25" customHeight="1" x14ac:dyDescent="0.25">
      <c r="A806" s="3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3"/>
      <c r="CV806" s="3"/>
      <c r="CW806" s="3"/>
      <c r="CX806" s="3"/>
      <c r="CY806" s="3"/>
      <c r="CZ806" s="3"/>
    </row>
    <row r="807" spans="1:104" ht="14.25" customHeight="1" x14ac:dyDescent="0.25">
      <c r="A807" s="3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3"/>
      <c r="CV807" s="3"/>
      <c r="CW807" s="3"/>
      <c r="CX807" s="3"/>
      <c r="CY807" s="3"/>
      <c r="CZ807" s="3"/>
    </row>
    <row r="808" spans="1:104" ht="14.25" customHeight="1" x14ac:dyDescent="0.25">
      <c r="A808" s="3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3"/>
      <c r="CV808" s="3"/>
      <c r="CW808" s="3"/>
      <c r="CX808" s="3"/>
      <c r="CY808" s="3"/>
      <c r="CZ808" s="3"/>
    </row>
    <row r="809" spans="1:104" ht="14.25" customHeight="1" x14ac:dyDescent="0.25">
      <c r="A809" s="3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3"/>
      <c r="CV809" s="3"/>
      <c r="CW809" s="3"/>
      <c r="CX809" s="3"/>
      <c r="CY809" s="3"/>
      <c r="CZ809" s="3"/>
    </row>
    <row r="810" spans="1:104" ht="14.25" customHeight="1" x14ac:dyDescent="0.25">
      <c r="A810" s="3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3"/>
      <c r="CV810" s="3"/>
      <c r="CW810" s="3"/>
      <c r="CX810" s="3"/>
      <c r="CY810" s="3"/>
      <c r="CZ810" s="3"/>
    </row>
    <row r="811" spans="1:104" ht="14.25" customHeight="1" x14ac:dyDescent="0.25">
      <c r="A811" s="3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3"/>
      <c r="CV811" s="3"/>
      <c r="CW811" s="3"/>
      <c r="CX811" s="3"/>
      <c r="CY811" s="3"/>
      <c r="CZ811" s="3"/>
    </row>
    <row r="812" spans="1:104" ht="14.25" customHeight="1" x14ac:dyDescent="0.25">
      <c r="A812" s="3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3"/>
      <c r="CV812" s="3"/>
      <c r="CW812" s="3"/>
      <c r="CX812" s="3"/>
      <c r="CY812" s="3"/>
      <c r="CZ812" s="3"/>
    </row>
    <row r="813" spans="1:104" ht="14.25" customHeight="1" x14ac:dyDescent="0.25">
      <c r="A813" s="3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3"/>
      <c r="CV813" s="3"/>
      <c r="CW813" s="3"/>
      <c r="CX813" s="3"/>
      <c r="CY813" s="3"/>
      <c r="CZ813" s="3"/>
    </row>
    <row r="814" spans="1:104" ht="14.25" customHeight="1" x14ac:dyDescent="0.25">
      <c r="A814" s="3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3"/>
      <c r="CV814" s="3"/>
      <c r="CW814" s="3"/>
      <c r="CX814" s="3"/>
      <c r="CY814" s="3"/>
      <c r="CZ814" s="3"/>
    </row>
    <row r="815" spans="1:104" ht="14.25" customHeight="1" x14ac:dyDescent="0.25">
      <c r="A815" s="3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3"/>
      <c r="CV815" s="3"/>
      <c r="CW815" s="3"/>
      <c r="CX815" s="3"/>
      <c r="CY815" s="3"/>
      <c r="CZ815" s="3"/>
    </row>
    <row r="816" spans="1:104" ht="14.25" customHeight="1" x14ac:dyDescent="0.25">
      <c r="A816" s="3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3"/>
      <c r="CV816" s="3"/>
      <c r="CW816" s="3"/>
      <c r="CX816" s="3"/>
      <c r="CY816" s="3"/>
      <c r="CZ816" s="3"/>
    </row>
    <row r="817" spans="1:104" ht="14.25" customHeight="1" x14ac:dyDescent="0.25">
      <c r="A817" s="3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3"/>
      <c r="CV817" s="3"/>
      <c r="CW817" s="3"/>
      <c r="CX817" s="3"/>
      <c r="CY817" s="3"/>
      <c r="CZ817" s="3"/>
    </row>
    <row r="818" spans="1:104" ht="14.25" customHeight="1" x14ac:dyDescent="0.25">
      <c r="A818" s="3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3"/>
      <c r="CV818" s="3"/>
      <c r="CW818" s="3"/>
      <c r="CX818" s="3"/>
      <c r="CY818" s="3"/>
      <c r="CZ818" s="3"/>
    </row>
    <row r="819" spans="1:104" ht="14.25" customHeight="1" x14ac:dyDescent="0.25">
      <c r="A819" s="3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3"/>
      <c r="CV819" s="3"/>
      <c r="CW819" s="3"/>
      <c r="CX819" s="3"/>
      <c r="CY819" s="3"/>
      <c r="CZ819" s="3"/>
    </row>
    <row r="820" spans="1:104" ht="14.25" customHeight="1" x14ac:dyDescent="0.25">
      <c r="A820" s="3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3"/>
      <c r="CV820" s="3"/>
      <c r="CW820" s="3"/>
      <c r="CX820" s="3"/>
      <c r="CY820" s="3"/>
      <c r="CZ820" s="3"/>
    </row>
    <row r="821" spans="1:104" ht="14.25" customHeight="1" x14ac:dyDescent="0.25">
      <c r="A821" s="3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3"/>
      <c r="CV821" s="3"/>
      <c r="CW821" s="3"/>
      <c r="CX821" s="3"/>
      <c r="CY821" s="3"/>
      <c r="CZ821" s="3"/>
    </row>
    <row r="822" spans="1:104" ht="14.25" customHeight="1" x14ac:dyDescent="0.25">
      <c r="A822" s="3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3"/>
      <c r="CV822" s="3"/>
      <c r="CW822" s="3"/>
      <c r="CX822" s="3"/>
      <c r="CY822" s="3"/>
      <c r="CZ822" s="3"/>
    </row>
    <row r="823" spans="1:104" ht="14.25" customHeight="1" x14ac:dyDescent="0.25">
      <c r="A823" s="3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3"/>
      <c r="CV823" s="3"/>
      <c r="CW823" s="3"/>
      <c r="CX823" s="3"/>
      <c r="CY823" s="3"/>
      <c r="CZ823" s="3"/>
    </row>
    <row r="824" spans="1:104" ht="14.25" customHeight="1" x14ac:dyDescent="0.25">
      <c r="A824" s="3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3"/>
      <c r="CV824" s="3"/>
      <c r="CW824" s="3"/>
      <c r="CX824" s="3"/>
      <c r="CY824" s="3"/>
      <c r="CZ824" s="3"/>
    </row>
    <row r="825" spans="1:104" ht="14.25" customHeight="1" x14ac:dyDescent="0.25">
      <c r="A825" s="3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3"/>
      <c r="CV825" s="3"/>
      <c r="CW825" s="3"/>
      <c r="CX825" s="3"/>
      <c r="CY825" s="3"/>
      <c r="CZ825" s="3"/>
    </row>
    <row r="826" spans="1:104" ht="14.25" customHeight="1" x14ac:dyDescent="0.25">
      <c r="A826" s="3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3"/>
      <c r="CV826" s="3"/>
      <c r="CW826" s="3"/>
      <c r="CX826" s="3"/>
      <c r="CY826" s="3"/>
      <c r="CZ826" s="3"/>
    </row>
    <row r="827" spans="1:104" ht="14.25" customHeight="1" x14ac:dyDescent="0.25">
      <c r="A827" s="3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3"/>
      <c r="CV827" s="3"/>
      <c r="CW827" s="3"/>
      <c r="CX827" s="3"/>
      <c r="CY827" s="3"/>
      <c r="CZ827" s="3"/>
    </row>
    <row r="828" spans="1:104" ht="14.25" customHeight="1" x14ac:dyDescent="0.25">
      <c r="A828" s="3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3"/>
      <c r="CV828" s="3"/>
      <c r="CW828" s="3"/>
      <c r="CX828" s="3"/>
      <c r="CY828" s="3"/>
      <c r="CZ828" s="3"/>
    </row>
    <row r="829" spans="1:104" ht="14.25" customHeight="1" x14ac:dyDescent="0.25">
      <c r="A829" s="3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3"/>
      <c r="CV829" s="3"/>
      <c r="CW829" s="3"/>
      <c r="CX829" s="3"/>
      <c r="CY829" s="3"/>
      <c r="CZ829" s="3"/>
    </row>
    <row r="830" spans="1:104" ht="14.25" customHeight="1" x14ac:dyDescent="0.25">
      <c r="A830" s="3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3"/>
      <c r="CV830" s="3"/>
      <c r="CW830" s="3"/>
      <c r="CX830" s="3"/>
      <c r="CY830" s="3"/>
      <c r="CZ830" s="3"/>
    </row>
    <row r="831" spans="1:104" ht="14.25" customHeight="1" x14ac:dyDescent="0.25">
      <c r="A831" s="3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3"/>
      <c r="CV831" s="3"/>
      <c r="CW831" s="3"/>
      <c r="CX831" s="3"/>
      <c r="CY831" s="3"/>
      <c r="CZ831" s="3"/>
    </row>
    <row r="832" spans="1:104" ht="14.25" customHeight="1" x14ac:dyDescent="0.25">
      <c r="A832" s="3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3"/>
      <c r="CV832" s="3"/>
      <c r="CW832" s="3"/>
      <c r="CX832" s="3"/>
      <c r="CY832" s="3"/>
      <c r="CZ832" s="3"/>
    </row>
    <row r="833" spans="1:104" ht="14.25" customHeight="1" x14ac:dyDescent="0.25">
      <c r="A833" s="3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3"/>
      <c r="CV833" s="3"/>
      <c r="CW833" s="3"/>
      <c r="CX833" s="3"/>
      <c r="CY833" s="3"/>
      <c r="CZ833" s="3"/>
    </row>
    <row r="834" spans="1:104" ht="14.25" customHeight="1" x14ac:dyDescent="0.25">
      <c r="A834" s="3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3"/>
      <c r="CV834" s="3"/>
      <c r="CW834" s="3"/>
      <c r="CX834" s="3"/>
      <c r="CY834" s="3"/>
      <c r="CZ834" s="3"/>
    </row>
    <row r="835" spans="1:104" ht="14.25" customHeight="1" x14ac:dyDescent="0.25">
      <c r="A835" s="3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3"/>
      <c r="CV835" s="3"/>
      <c r="CW835" s="3"/>
      <c r="CX835" s="3"/>
      <c r="CY835" s="3"/>
      <c r="CZ835" s="3"/>
    </row>
    <row r="836" spans="1:104" ht="14.25" customHeight="1" x14ac:dyDescent="0.25">
      <c r="A836" s="3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3"/>
      <c r="CV836" s="3"/>
      <c r="CW836" s="3"/>
      <c r="CX836" s="3"/>
      <c r="CY836" s="3"/>
      <c r="CZ836" s="3"/>
    </row>
    <row r="837" spans="1:104" ht="14.25" customHeight="1" x14ac:dyDescent="0.25">
      <c r="A837" s="3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3"/>
      <c r="CV837" s="3"/>
      <c r="CW837" s="3"/>
      <c r="CX837" s="3"/>
      <c r="CY837" s="3"/>
      <c r="CZ837" s="3"/>
    </row>
    <row r="838" spans="1:104" ht="14.25" customHeight="1" x14ac:dyDescent="0.25">
      <c r="A838" s="3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3"/>
      <c r="CV838" s="3"/>
      <c r="CW838" s="3"/>
      <c r="CX838" s="3"/>
      <c r="CY838" s="3"/>
      <c r="CZ838" s="3"/>
    </row>
    <row r="839" spans="1:104" ht="14.25" customHeight="1" x14ac:dyDescent="0.25">
      <c r="A839" s="3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3"/>
      <c r="CV839" s="3"/>
      <c r="CW839" s="3"/>
      <c r="CX839" s="3"/>
      <c r="CY839" s="3"/>
      <c r="CZ839" s="3"/>
    </row>
    <row r="840" spans="1:104" ht="14.25" customHeight="1" x14ac:dyDescent="0.25">
      <c r="A840" s="3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3"/>
      <c r="CV840" s="3"/>
      <c r="CW840" s="3"/>
      <c r="CX840" s="3"/>
      <c r="CY840" s="3"/>
      <c r="CZ840" s="3"/>
    </row>
    <row r="841" spans="1:104" ht="14.25" customHeight="1" x14ac:dyDescent="0.25">
      <c r="A841" s="3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3"/>
      <c r="CV841" s="3"/>
      <c r="CW841" s="3"/>
      <c r="CX841" s="3"/>
      <c r="CY841" s="3"/>
      <c r="CZ841" s="3"/>
    </row>
    <row r="842" spans="1:104" ht="14.25" customHeight="1" x14ac:dyDescent="0.25">
      <c r="A842" s="3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3"/>
      <c r="CV842" s="3"/>
      <c r="CW842" s="3"/>
      <c r="CX842" s="3"/>
      <c r="CY842" s="3"/>
      <c r="CZ842" s="3"/>
    </row>
    <row r="843" spans="1:104" ht="14.25" customHeight="1" x14ac:dyDescent="0.25">
      <c r="A843" s="3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3"/>
      <c r="CV843" s="3"/>
      <c r="CW843" s="3"/>
      <c r="CX843" s="3"/>
      <c r="CY843" s="3"/>
      <c r="CZ843" s="3"/>
    </row>
    <row r="844" spans="1:104" ht="14.25" customHeight="1" x14ac:dyDescent="0.25">
      <c r="A844" s="3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3"/>
      <c r="CV844" s="3"/>
      <c r="CW844" s="3"/>
      <c r="CX844" s="3"/>
      <c r="CY844" s="3"/>
      <c r="CZ844" s="3"/>
    </row>
    <row r="845" spans="1:104" ht="14.25" customHeight="1" x14ac:dyDescent="0.25">
      <c r="A845" s="3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3"/>
      <c r="CV845" s="3"/>
      <c r="CW845" s="3"/>
      <c r="CX845" s="3"/>
      <c r="CY845" s="3"/>
      <c r="CZ845" s="3"/>
    </row>
    <row r="846" spans="1:104" ht="14.25" customHeight="1" x14ac:dyDescent="0.25">
      <c r="A846" s="3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3"/>
      <c r="CV846" s="3"/>
      <c r="CW846" s="3"/>
      <c r="CX846" s="3"/>
      <c r="CY846" s="3"/>
      <c r="CZ846" s="3"/>
    </row>
    <row r="847" spans="1:104" ht="14.25" customHeight="1" x14ac:dyDescent="0.25">
      <c r="A847" s="3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3"/>
      <c r="CV847" s="3"/>
      <c r="CW847" s="3"/>
      <c r="CX847" s="3"/>
      <c r="CY847" s="3"/>
      <c r="CZ847" s="3"/>
    </row>
    <row r="848" spans="1:104" ht="14.25" customHeight="1" x14ac:dyDescent="0.25">
      <c r="A848" s="3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3"/>
      <c r="CV848" s="3"/>
      <c r="CW848" s="3"/>
      <c r="CX848" s="3"/>
      <c r="CY848" s="3"/>
      <c r="CZ848" s="3"/>
    </row>
    <row r="849" spans="1:104" ht="14.25" customHeight="1" x14ac:dyDescent="0.25">
      <c r="A849" s="3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3"/>
      <c r="CV849" s="3"/>
      <c r="CW849" s="3"/>
      <c r="CX849" s="3"/>
      <c r="CY849" s="3"/>
      <c r="CZ849" s="3"/>
    </row>
    <row r="850" spans="1:104" ht="14.25" customHeight="1" x14ac:dyDescent="0.25">
      <c r="A850" s="3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3"/>
      <c r="CV850" s="3"/>
      <c r="CW850" s="3"/>
      <c r="CX850" s="3"/>
      <c r="CY850" s="3"/>
      <c r="CZ850" s="3"/>
    </row>
    <row r="851" spans="1:104" ht="14.25" customHeight="1" x14ac:dyDescent="0.25">
      <c r="A851" s="3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3"/>
      <c r="CV851" s="3"/>
      <c r="CW851" s="3"/>
      <c r="CX851" s="3"/>
      <c r="CY851" s="3"/>
      <c r="CZ851" s="3"/>
    </row>
    <row r="852" spans="1:104" ht="14.25" customHeight="1" x14ac:dyDescent="0.25">
      <c r="A852" s="3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3"/>
      <c r="CV852" s="3"/>
      <c r="CW852" s="3"/>
      <c r="CX852" s="3"/>
      <c r="CY852" s="3"/>
      <c r="CZ852" s="3"/>
    </row>
    <row r="853" spans="1:104" ht="14.25" customHeight="1" x14ac:dyDescent="0.25">
      <c r="A853" s="3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3"/>
      <c r="CV853" s="3"/>
      <c r="CW853" s="3"/>
      <c r="CX853" s="3"/>
      <c r="CY853" s="3"/>
      <c r="CZ853" s="3"/>
    </row>
    <row r="854" spans="1:104" ht="14.25" customHeight="1" x14ac:dyDescent="0.25">
      <c r="A854" s="3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3"/>
      <c r="CV854" s="3"/>
      <c r="CW854" s="3"/>
      <c r="CX854" s="3"/>
      <c r="CY854" s="3"/>
      <c r="CZ854" s="3"/>
    </row>
    <row r="855" spans="1:104" ht="14.25" customHeight="1" x14ac:dyDescent="0.25">
      <c r="A855" s="3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3"/>
      <c r="CV855" s="3"/>
      <c r="CW855" s="3"/>
      <c r="CX855" s="3"/>
      <c r="CY855" s="3"/>
      <c r="CZ855" s="3"/>
    </row>
    <row r="856" spans="1:104" ht="14.25" customHeight="1" x14ac:dyDescent="0.25">
      <c r="A856" s="3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3"/>
      <c r="CV856" s="3"/>
      <c r="CW856" s="3"/>
      <c r="CX856" s="3"/>
      <c r="CY856" s="3"/>
      <c r="CZ856" s="3"/>
    </row>
    <row r="857" spans="1:104" ht="14.25" customHeight="1" x14ac:dyDescent="0.25">
      <c r="A857" s="3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3"/>
      <c r="CV857" s="3"/>
      <c r="CW857" s="3"/>
      <c r="CX857" s="3"/>
      <c r="CY857" s="3"/>
      <c r="CZ857" s="3"/>
    </row>
    <row r="858" spans="1:104" ht="14.25" customHeight="1" x14ac:dyDescent="0.25">
      <c r="A858" s="3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3"/>
      <c r="CV858" s="3"/>
      <c r="CW858" s="3"/>
      <c r="CX858" s="3"/>
      <c r="CY858" s="3"/>
      <c r="CZ858" s="3"/>
    </row>
    <row r="859" spans="1:104" ht="14.25" customHeight="1" x14ac:dyDescent="0.25">
      <c r="A859" s="3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3"/>
      <c r="CV859" s="3"/>
      <c r="CW859" s="3"/>
      <c r="CX859" s="3"/>
      <c r="CY859" s="3"/>
      <c r="CZ859" s="3"/>
    </row>
    <row r="860" spans="1:104" ht="14.25" customHeight="1" x14ac:dyDescent="0.25">
      <c r="A860" s="3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3"/>
      <c r="CV860" s="3"/>
      <c r="CW860" s="3"/>
      <c r="CX860" s="3"/>
      <c r="CY860" s="3"/>
      <c r="CZ860" s="3"/>
    </row>
    <row r="861" spans="1:104" ht="14.25" customHeight="1" x14ac:dyDescent="0.25">
      <c r="A861" s="3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3"/>
      <c r="CV861" s="3"/>
      <c r="CW861" s="3"/>
      <c r="CX861" s="3"/>
      <c r="CY861" s="3"/>
      <c r="CZ861" s="3"/>
    </row>
    <row r="862" spans="1:104" ht="14.25" customHeight="1" x14ac:dyDescent="0.25">
      <c r="A862" s="3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3"/>
      <c r="CV862" s="3"/>
      <c r="CW862" s="3"/>
      <c r="CX862" s="3"/>
      <c r="CY862" s="3"/>
      <c r="CZ862" s="3"/>
    </row>
    <row r="863" spans="1:104" ht="14.25" customHeight="1" x14ac:dyDescent="0.25">
      <c r="A863" s="3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3"/>
      <c r="CV863" s="3"/>
      <c r="CW863" s="3"/>
      <c r="CX863" s="3"/>
      <c r="CY863" s="3"/>
      <c r="CZ863" s="3"/>
    </row>
    <row r="864" spans="1:104" ht="14.25" customHeight="1" x14ac:dyDescent="0.25">
      <c r="A864" s="3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3"/>
      <c r="CV864" s="3"/>
      <c r="CW864" s="3"/>
      <c r="CX864" s="3"/>
      <c r="CY864" s="3"/>
      <c r="CZ864" s="3"/>
    </row>
    <row r="865" spans="1:104" ht="14.25" customHeight="1" x14ac:dyDescent="0.25">
      <c r="A865" s="3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3"/>
      <c r="CV865" s="3"/>
      <c r="CW865" s="3"/>
      <c r="CX865" s="3"/>
      <c r="CY865" s="3"/>
      <c r="CZ865" s="3"/>
    </row>
    <row r="866" spans="1:104" ht="14.25" customHeight="1" x14ac:dyDescent="0.25">
      <c r="A866" s="3"/>
      <c r="B866" s="4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3"/>
      <c r="CV866" s="3"/>
      <c r="CW866" s="3"/>
      <c r="CX866" s="3"/>
      <c r="CY866" s="3"/>
      <c r="CZ866" s="3"/>
    </row>
    <row r="867" spans="1:104" ht="14.25" customHeight="1" x14ac:dyDescent="0.25">
      <c r="A867" s="3"/>
      <c r="B867" s="4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3"/>
      <c r="CV867" s="3"/>
      <c r="CW867" s="3"/>
      <c r="CX867" s="3"/>
      <c r="CY867" s="3"/>
      <c r="CZ867" s="3"/>
    </row>
    <row r="868" spans="1:104" ht="14.25" customHeight="1" x14ac:dyDescent="0.25">
      <c r="A868" s="3"/>
      <c r="B868" s="4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3"/>
      <c r="CV868" s="3"/>
      <c r="CW868" s="3"/>
      <c r="CX868" s="3"/>
      <c r="CY868" s="3"/>
      <c r="CZ868" s="3"/>
    </row>
    <row r="869" spans="1:104" ht="14.25" customHeight="1" x14ac:dyDescent="0.25">
      <c r="A869" s="3"/>
      <c r="B869" s="4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3"/>
      <c r="CV869" s="3"/>
      <c r="CW869" s="3"/>
      <c r="CX869" s="3"/>
      <c r="CY869" s="3"/>
      <c r="CZ869" s="3"/>
    </row>
    <row r="870" spans="1:104" ht="14.25" customHeight="1" x14ac:dyDescent="0.25">
      <c r="A870" s="3"/>
      <c r="B870" s="4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3"/>
      <c r="CV870" s="3"/>
      <c r="CW870" s="3"/>
      <c r="CX870" s="3"/>
      <c r="CY870" s="3"/>
      <c r="CZ870" s="3"/>
    </row>
    <row r="871" spans="1:104" ht="14.25" customHeight="1" x14ac:dyDescent="0.25">
      <c r="A871" s="3"/>
      <c r="B871" s="4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3"/>
      <c r="CV871" s="3"/>
      <c r="CW871" s="3"/>
      <c r="CX871" s="3"/>
      <c r="CY871" s="3"/>
      <c r="CZ871" s="3"/>
    </row>
    <row r="872" spans="1:104" ht="14.25" customHeight="1" x14ac:dyDescent="0.25">
      <c r="A872" s="3"/>
      <c r="B872" s="4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3"/>
      <c r="CV872" s="3"/>
      <c r="CW872" s="3"/>
      <c r="CX872" s="3"/>
      <c r="CY872" s="3"/>
      <c r="CZ872" s="3"/>
    </row>
    <row r="873" spans="1:104" ht="14.25" customHeight="1" x14ac:dyDescent="0.25">
      <c r="A873" s="3"/>
      <c r="B873" s="4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3"/>
      <c r="CV873" s="3"/>
      <c r="CW873" s="3"/>
      <c r="CX873" s="3"/>
      <c r="CY873" s="3"/>
      <c r="CZ873" s="3"/>
    </row>
    <row r="874" spans="1:104" ht="14.25" customHeight="1" x14ac:dyDescent="0.25">
      <c r="A874" s="3"/>
      <c r="B874" s="4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3"/>
      <c r="CV874" s="3"/>
      <c r="CW874" s="3"/>
      <c r="CX874" s="3"/>
      <c r="CY874" s="3"/>
      <c r="CZ874" s="3"/>
    </row>
    <row r="875" spans="1:104" ht="14.25" customHeight="1" x14ac:dyDescent="0.25">
      <c r="A875" s="3"/>
      <c r="B875" s="4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3"/>
      <c r="CV875" s="3"/>
      <c r="CW875" s="3"/>
      <c r="CX875" s="3"/>
      <c r="CY875" s="3"/>
      <c r="CZ875" s="3"/>
    </row>
    <row r="876" spans="1:104" ht="14.25" customHeight="1" x14ac:dyDescent="0.25">
      <c r="A876" s="3"/>
      <c r="B876" s="4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3"/>
      <c r="CV876" s="3"/>
      <c r="CW876" s="3"/>
      <c r="CX876" s="3"/>
      <c r="CY876" s="3"/>
      <c r="CZ876" s="3"/>
    </row>
    <row r="877" spans="1:104" ht="14.25" customHeight="1" x14ac:dyDescent="0.25">
      <c r="A877" s="3"/>
      <c r="B877" s="4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3"/>
      <c r="CV877" s="3"/>
      <c r="CW877" s="3"/>
      <c r="CX877" s="3"/>
      <c r="CY877" s="3"/>
      <c r="CZ877" s="3"/>
    </row>
    <row r="878" spans="1:104" ht="14.25" customHeight="1" x14ac:dyDescent="0.25">
      <c r="A878" s="3"/>
      <c r="B878" s="4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3"/>
      <c r="CV878" s="3"/>
      <c r="CW878" s="3"/>
      <c r="CX878" s="3"/>
      <c r="CY878" s="3"/>
      <c r="CZ878" s="3"/>
    </row>
    <row r="879" spans="1:104" ht="14.25" customHeight="1" x14ac:dyDescent="0.25">
      <c r="A879" s="3"/>
      <c r="B879" s="4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3"/>
      <c r="CV879" s="3"/>
      <c r="CW879" s="3"/>
      <c r="CX879" s="3"/>
      <c r="CY879" s="3"/>
      <c r="CZ879" s="3"/>
    </row>
    <row r="880" spans="1:104" ht="14.25" customHeight="1" x14ac:dyDescent="0.25">
      <c r="A880" s="3"/>
      <c r="B880" s="4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3"/>
      <c r="CV880" s="3"/>
      <c r="CW880" s="3"/>
      <c r="CX880" s="3"/>
      <c r="CY880" s="3"/>
      <c r="CZ880" s="3"/>
    </row>
    <row r="881" spans="1:104" ht="14.25" customHeight="1" x14ac:dyDescent="0.25">
      <c r="A881" s="3"/>
      <c r="B881" s="4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3"/>
      <c r="CV881" s="3"/>
      <c r="CW881" s="3"/>
      <c r="CX881" s="3"/>
      <c r="CY881" s="3"/>
      <c r="CZ881" s="3"/>
    </row>
    <row r="882" spans="1:104" ht="14.25" customHeight="1" x14ac:dyDescent="0.25">
      <c r="A882" s="3"/>
      <c r="B882" s="4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3"/>
      <c r="CV882" s="3"/>
      <c r="CW882" s="3"/>
      <c r="CX882" s="3"/>
      <c r="CY882" s="3"/>
      <c r="CZ882" s="3"/>
    </row>
    <row r="883" spans="1:104" ht="14.25" customHeight="1" x14ac:dyDescent="0.25">
      <c r="A883" s="3"/>
      <c r="B883" s="4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3"/>
      <c r="CV883" s="3"/>
      <c r="CW883" s="3"/>
      <c r="CX883" s="3"/>
      <c r="CY883" s="3"/>
      <c r="CZ883" s="3"/>
    </row>
    <row r="884" spans="1:104" ht="14.25" customHeight="1" x14ac:dyDescent="0.25">
      <c r="A884" s="3"/>
      <c r="B884" s="4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3"/>
      <c r="CV884" s="3"/>
      <c r="CW884" s="3"/>
      <c r="CX884" s="3"/>
      <c r="CY884" s="3"/>
      <c r="CZ884" s="3"/>
    </row>
    <row r="885" spans="1:104" ht="14.25" customHeight="1" x14ac:dyDescent="0.25">
      <c r="A885" s="3"/>
      <c r="B885" s="4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3"/>
      <c r="CV885" s="3"/>
      <c r="CW885" s="3"/>
      <c r="CX885" s="3"/>
      <c r="CY885" s="3"/>
      <c r="CZ885" s="3"/>
    </row>
    <row r="886" spans="1:104" ht="14.25" customHeight="1" x14ac:dyDescent="0.25">
      <c r="A886" s="3"/>
      <c r="B886" s="4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3"/>
      <c r="CV886" s="3"/>
      <c r="CW886" s="3"/>
      <c r="CX886" s="3"/>
      <c r="CY886" s="3"/>
      <c r="CZ886" s="3"/>
    </row>
    <row r="887" spans="1:104" ht="14.25" customHeight="1" x14ac:dyDescent="0.25">
      <c r="A887" s="3"/>
      <c r="B887" s="4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3"/>
      <c r="CV887" s="3"/>
      <c r="CW887" s="3"/>
      <c r="CX887" s="3"/>
      <c r="CY887" s="3"/>
      <c r="CZ887" s="3"/>
    </row>
    <row r="888" spans="1:104" ht="14.25" customHeight="1" x14ac:dyDescent="0.25">
      <c r="A888" s="3"/>
      <c r="B888" s="4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3"/>
      <c r="CV888" s="3"/>
      <c r="CW888" s="3"/>
      <c r="CX888" s="3"/>
      <c r="CY888" s="3"/>
      <c r="CZ888" s="3"/>
    </row>
    <row r="889" spans="1:104" ht="14.25" customHeight="1" x14ac:dyDescent="0.25">
      <c r="A889" s="3"/>
      <c r="B889" s="4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3"/>
      <c r="CV889" s="3"/>
      <c r="CW889" s="3"/>
      <c r="CX889" s="3"/>
      <c r="CY889" s="3"/>
      <c r="CZ889" s="3"/>
    </row>
    <row r="890" spans="1:104" ht="14.25" customHeight="1" x14ac:dyDescent="0.25">
      <c r="A890" s="3"/>
      <c r="B890" s="4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3"/>
      <c r="CV890" s="3"/>
      <c r="CW890" s="3"/>
      <c r="CX890" s="3"/>
      <c r="CY890" s="3"/>
      <c r="CZ890" s="3"/>
    </row>
    <row r="891" spans="1:104" ht="14.25" customHeight="1" x14ac:dyDescent="0.25">
      <c r="A891" s="3"/>
      <c r="B891" s="4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3"/>
      <c r="CV891" s="3"/>
      <c r="CW891" s="3"/>
      <c r="CX891" s="3"/>
      <c r="CY891" s="3"/>
      <c r="CZ891" s="3"/>
    </row>
    <row r="892" spans="1:104" ht="14.25" customHeight="1" x14ac:dyDescent="0.25">
      <c r="A892" s="3"/>
      <c r="B892" s="4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3"/>
      <c r="CV892" s="3"/>
      <c r="CW892" s="3"/>
      <c r="CX892" s="3"/>
      <c r="CY892" s="3"/>
      <c r="CZ892" s="3"/>
    </row>
    <row r="893" spans="1:104" ht="14.25" customHeight="1" x14ac:dyDescent="0.25">
      <c r="A893" s="3"/>
      <c r="B893" s="4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3"/>
      <c r="CV893" s="3"/>
      <c r="CW893" s="3"/>
      <c r="CX893" s="3"/>
      <c r="CY893" s="3"/>
      <c r="CZ893" s="3"/>
    </row>
    <row r="894" spans="1:104" ht="14.25" customHeight="1" x14ac:dyDescent="0.25">
      <c r="A894" s="3"/>
      <c r="B894" s="4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3"/>
      <c r="CV894" s="3"/>
      <c r="CW894" s="3"/>
      <c r="CX894" s="3"/>
      <c r="CY894" s="3"/>
      <c r="CZ894" s="3"/>
    </row>
    <row r="895" spans="1:104" ht="14.25" customHeight="1" x14ac:dyDescent="0.25">
      <c r="A895" s="3"/>
      <c r="B895" s="4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3"/>
      <c r="CV895" s="3"/>
      <c r="CW895" s="3"/>
      <c r="CX895" s="3"/>
      <c r="CY895" s="3"/>
      <c r="CZ895" s="3"/>
    </row>
    <row r="896" spans="1:104" ht="14.25" customHeight="1" x14ac:dyDescent="0.25">
      <c r="A896" s="3"/>
      <c r="B896" s="4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3"/>
      <c r="CV896" s="3"/>
      <c r="CW896" s="3"/>
      <c r="CX896" s="3"/>
      <c r="CY896" s="3"/>
      <c r="CZ896" s="3"/>
    </row>
    <row r="897" spans="1:104" ht="14.25" customHeight="1" x14ac:dyDescent="0.25">
      <c r="A897" s="3"/>
      <c r="B897" s="4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3"/>
      <c r="CV897" s="3"/>
      <c r="CW897" s="3"/>
      <c r="CX897" s="3"/>
      <c r="CY897" s="3"/>
      <c r="CZ897" s="3"/>
    </row>
    <row r="898" spans="1:104" ht="14.25" customHeight="1" x14ac:dyDescent="0.25">
      <c r="A898" s="3"/>
      <c r="B898" s="4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3"/>
      <c r="CV898" s="3"/>
      <c r="CW898" s="3"/>
      <c r="CX898" s="3"/>
      <c r="CY898" s="3"/>
      <c r="CZ898" s="3"/>
    </row>
    <row r="899" spans="1:104" ht="14.25" customHeight="1" x14ac:dyDescent="0.25">
      <c r="A899" s="3"/>
      <c r="B899" s="4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3"/>
      <c r="CV899" s="3"/>
      <c r="CW899" s="3"/>
      <c r="CX899" s="3"/>
      <c r="CY899" s="3"/>
      <c r="CZ899" s="3"/>
    </row>
    <row r="900" spans="1:104" ht="14.25" customHeight="1" x14ac:dyDescent="0.25">
      <c r="A900" s="3"/>
      <c r="B900" s="4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3"/>
      <c r="CV900" s="3"/>
      <c r="CW900" s="3"/>
      <c r="CX900" s="3"/>
      <c r="CY900" s="3"/>
      <c r="CZ900" s="3"/>
    </row>
    <row r="901" spans="1:104" ht="14.25" customHeight="1" x14ac:dyDescent="0.25">
      <c r="A901" s="3"/>
      <c r="B901" s="4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3"/>
      <c r="CV901" s="3"/>
      <c r="CW901" s="3"/>
      <c r="CX901" s="3"/>
      <c r="CY901" s="3"/>
      <c r="CZ901" s="3"/>
    </row>
    <row r="902" spans="1:104" ht="14.25" customHeight="1" x14ac:dyDescent="0.25">
      <c r="A902" s="3"/>
      <c r="B902" s="4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3"/>
      <c r="CV902" s="3"/>
      <c r="CW902" s="3"/>
      <c r="CX902" s="3"/>
      <c r="CY902" s="3"/>
      <c r="CZ902" s="3"/>
    </row>
    <row r="903" spans="1:104" ht="14.25" customHeight="1" x14ac:dyDescent="0.25">
      <c r="A903" s="3"/>
      <c r="B903" s="4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3"/>
      <c r="CV903" s="3"/>
      <c r="CW903" s="3"/>
      <c r="CX903" s="3"/>
      <c r="CY903" s="3"/>
      <c r="CZ903" s="3"/>
    </row>
    <row r="904" spans="1:104" ht="14.25" customHeight="1" x14ac:dyDescent="0.25">
      <c r="A904" s="3"/>
      <c r="B904" s="4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3"/>
      <c r="CV904" s="3"/>
      <c r="CW904" s="3"/>
      <c r="CX904" s="3"/>
      <c r="CY904" s="3"/>
      <c r="CZ904" s="3"/>
    </row>
    <row r="905" spans="1:104" ht="14.25" customHeight="1" x14ac:dyDescent="0.25">
      <c r="A905" s="3"/>
      <c r="B905" s="4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3"/>
      <c r="CV905" s="3"/>
      <c r="CW905" s="3"/>
      <c r="CX905" s="3"/>
      <c r="CY905" s="3"/>
      <c r="CZ905" s="3"/>
    </row>
    <row r="906" spans="1:104" ht="14.25" customHeight="1" x14ac:dyDescent="0.25">
      <c r="A906" s="3"/>
      <c r="B906" s="4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3"/>
      <c r="CV906" s="3"/>
      <c r="CW906" s="3"/>
      <c r="CX906" s="3"/>
      <c r="CY906" s="3"/>
      <c r="CZ906" s="3"/>
    </row>
    <row r="907" spans="1:104" ht="14.25" customHeight="1" x14ac:dyDescent="0.25">
      <c r="A907" s="3"/>
      <c r="B907" s="4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3"/>
      <c r="CV907" s="3"/>
      <c r="CW907" s="3"/>
      <c r="CX907" s="3"/>
      <c r="CY907" s="3"/>
      <c r="CZ907" s="3"/>
    </row>
    <row r="908" spans="1:104" ht="14.25" customHeight="1" x14ac:dyDescent="0.25">
      <c r="A908" s="3"/>
      <c r="B908" s="4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3"/>
      <c r="CV908" s="3"/>
      <c r="CW908" s="3"/>
      <c r="CX908" s="3"/>
      <c r="CY908" s="3"/>
      <c r="CZ908" s="3"/>
    </row>
    <row r="909" spans="1:104" ht="14.25" customHeight="1" x14ac:dyDescent="0.25">
      <c r="A909" s="3"/>
      <c r="B909" s="4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3"/>
      <c r="CV909" s="3"/>
      <c r="CW909" s="3"/>
      <c r="CX909" s="3"/>
      <c r="CY909" s="3"/>
      <c r="CZ909" s="3"/>
    </row>
    <row r="910" spans="1:104" ht="14.25" customHeight="1" x14ac:dyDescent="0.25">
      <c r="A910" s="3"/>
      <c r="B910" s="4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3"/>
      <c r="CV910" s="3"/>
      <c r="CW910" s="3"/>
      <c r="CX910" s="3"/>
      <c r="CY910" s="3"/>
      <c r="CZ910" s="3"/>
    </row>
    <row r="911" spans="1:104" ht="14.25" customHeight="1" x14ac:dyDescent="0.25">
      <c r="A911" s="3"/>
      <c r="B911" s="4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3"/>
      <c r="CV911" s="3"/>
      <c r="CW911" s="3"/>
      <c r="CX911" s="3"/>
      <c r="CY911" s="3"/>
      <c r="CZ911" s="3"/>
    </row>
    <row r="912" spans="1:104" ht="14.25" customHeight="1" x14ac:dyDescent="0.25">
      <c r="A912" s="3"/>
      <c r="B912" s="4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3"/>
      <c r="CV912" s="3"/>
      <c r="CW912" s="3"/>
      <c r="CX912" s="3"/>
      <c r="CY912" s="3"/>
      <c r="CZ912" s="3"/>
    </row>
    <row r="913" spans="1:104" ht="14.25" customHeight="1" x14ac:dyDescent="0.25">
      <c r="A913" s="3"/>
      <c r="B913" s="4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3"/>
      <c r="CV913" s="3"/>
      <c r="CW913" s="3"/>
      <c r="CX913" s="3"/>
      <c r="CY913" s="3"/>
      <c r="CZ913" s="3"/>
    </row>
    <row r="914" spans="1:104" ht="14.25" customHeight="1" x14ac:dyDescent="0.25">
      <c r="A914" s="3"/>
      <c r="B914" s="4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3"/>
      <c r="CV914" s="3"/>
      <c r="CW914" s="3"/>
      <c r="CX914" s="3"/>
      <c r="CY914" s="3"/>
      <c r="CZ914" s="3"/>
    </row>
    <row r="915" spans="1:104" ht="14.25" customHeight="1" x14ac:dyDescent="0.25">
      <c r="A915" s="3"/>
      <c r="B915" s="4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3"/>
      <c r="CV915" s="3"/>
      <c r="CW915" s="3"/>
      <c r="CX915" s="3"/>
      <c r="CY915" s="3"/>
      <c r="CZ915" s="3"/>
    </row>
    <row r="916" spans="1:104" ht="14.25" customHeight="1" x14ac:dyDescent="0.25">
      <c r="A916" s="3"/>
      <c r="B916" s="4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3"/>
      <c r="CV916" s="3"/>
      <c r="CW916" s="3"/>
      <c r="CX916" s="3"/>
      <c r="CY916" s="3"/>
      <c r="CZ916" s="3"/>
    </row>
    <row r="917" spans="1:104" ht="14.25" customHeight="1" x14ac:dyDescent="0.25">
      <c r="A917" s="3"/>
      <c r="B917" s="4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3"/>
      <c r="CV917" s="3"/>
      <c r="CW917" s="3"/>
      <c r="CX917" s="3"/>
      <c r="CY917" s="3"/>
      <c r="CZ917" s="3"/>
    </row>
    <row r="918" spans="1:104" ht="14.25" customHeight="1" x14ac:dyDescent="0.25">
      <c r="A918" s="3"/>
      <c r="B918" s="4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3"/>
      <c r="CV918" s="3"/>
      <c r="CW918" s="3"/>
      <c r="CX918" s="3"/>
      <c r="CY918" s="3"/>
      <c r="CZ918" s="3"/>
    </row>
    <row r="919" spans="1:104" ht="14.25" customHeight="1" x14ac:dyDescent="0.25">
      <c r="A919" s="3"/>
      <c r="B919" s="4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3"/>
      <c r="CV919" s="3"/>
      <c r="CW919" s="3"/>
      <c r="CX919" s="3"/>
      <c r="CY919" s="3"/>
      <c r="CZ919" s="3"/>
    </row>
    <row r="920" spans="1:104" ht="14.25" customHeight="1" x14ac:dyDescent="0.25">
      <c r="A920" s="3"/>
      <c r="B920" s="4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3"/>
      <c r="CV920" s="3"/>
      <c r="CW920" s="3"/>
      <c r="CX920" s="3"/>
      <c r="CY920" s="3"/>
      <c r="CZ920" s="3"/>
    </row>
    <row r="921" spans="1:104" ht="14.25" customHeight="1" x14ac:dyDescent="0.25">
      <c r="A921" s="3"/>
      <c r="B921" s="4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3"/>
      <c r="CV921" s="3"/>
      <c r="CW921" s="3"/>
      <c r="CX921" s="3"/>
      <c r="CY921" s="3"/>
      <c r="CZ921" s="3"/>
    </row>
    <row r="922" spans="1:104" ht="14.25" customHeight="1" x14ac:dyDescent="0.25">
      <c r="A922" s="3"/>
      <c r="B922" s="4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3"/>
      <c r="CV922" s="3"/>
      <c r="CW922" s="3"/>
      <c r="CX922" s="3"/>
      <c r="CY922" s="3"/>
      <c r="CZ922" s="3"/>
    </row>
    <row r="923" spans="1:104" ht="14.25" customHeight="1" x14ac:dyDescent="0.25">
      <c r="A923" s="3"/>
      <c r="B923" s="4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3"/>
      <c r="CV923" s="3"/>
      <c r="CW923" s="3"/>
      <c r="CX923" s="3"/>
      <c r="CY923" s="3"/>
      <c r="CZ923" s="3"/>
    </row>
    <row r="924" spans="1:104" ht="14.25" customHeight="1" x14ac:dyDescent="0.25">
      <c r="A924" s="3"/>
      <c r="B924" s="4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3"/>
      <c r="CV924" s="3"/>
      <c r="CW924" s="3"/>
      <c r="CX924" s="3"/>
      <c r="CY924" s="3"/>
      <c r="CZ924" s="3"/>
    </row>
    <row r="925" spans="1:104" ht="14.25" customHeight="1" x14ac:dyDescent="0.25">
      <c r="A925" s="3"/>
      <c r="B925" s="4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3"/>
      <c r="CV925" s="3"/>
      <c r="CW925" s="3"/>
      <c r="CX925" s="3"/>
      <c r="CY925" s="3"/>
      <c r="CZ925" s="3"/>
    </row>
    <row r="926" spans="1:104" ht="14.25" customHeight="1" x14ac:dyDescent="0.25">
      <c r="A926" s="3"/>
      <c r="B926" s="4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3"/>
      <c r="CV926" s="3"/>
      <c r="CW926" s="3"/>
      <c r="CX926" s="3"/>
      <c r="CY926" s="3"/>
      <c r="CZ926" s="3"/>
    </row>
    <row r="927" spans="1:104" ht="14.25" customHeight="1" x14ac:dyDescent="0.25">
      <c r="A927" s="3"/>
      <c r="B927" s="4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3"/>
      <c r="CV927" s="3"/>
      <c r="CW927" s="3"/>
      <c r="CX927" s="3"/>
      <c r="CY927" s="3"/>
      <c r="CZ927" s="3"/>
    </row>
    <row r="928" spans="1:104" ht="14.25" customHeight="1" x14ac:dyDescent="0.25">
      <c r="A928" s="3"/>
      <c r="B928" s="4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3"/>
      <c r="CV928" s="3"/>
      <c r="CW928" s="3"/>
      <c r="CX928" s="3"/>
      <c r="CY928" s="3"/>
      <c r="CZ928" s="3"/>
    </row>
    <row r="929" spans="1:104" ht="14.25" customHeight="1" x14ac:dyDescent="0.25">
      <c r="A929" s="3"/>
      <c r="B929" s="4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3"/>
      <c r="CV929" s="3"/>
      <c r="CW929" s="3"/>
      <c r="CX929" s="3"/>
      <c r="CY929" s="3"/>
      <c r="CZ929" s="3"/>
    </row>
    <row r="930" spans="1:104" ht="14.25" customHeight="1" x14ac:dyDescent="0.25">
      <c r="A930" s="3"/>
      <c r="B930" s="4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3"/>
      <c r="CV930" s="3"/>
      <c r="CW930" s="3"/>
      <c r="CX930" s="3"/>
      <c r="CY930" s="3"/>
      <c r="CZ930" s="3"/>
    </row>
    <row r="931" spans="1:104" ht="14.25" customHeight="1" x14ac:dyDescent="0.25">
      <c r="A931" s="3"/>
      <c r="B931" s="4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3"/>
      <c r="CV931" s="3"/>
      <c r="CW931" s="3"/>
      <c r="CX931" s="3"/>
      <c r="CY931" s="3"/>
      <c r="CZ931" s="3"/>
    </row>
    <row r="932" spans="1:104" ht="14.25" customHeight="1" x14ac:dyDescent="0.25">
      <c r="A932" s="3"/>
      <c r="B932" s="4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3"/>
      <c r="CV932" s="3"/>
      <c r="CW932" s="3"/>
      <c r="CX932" s="3"/>
      <c r="CY932" s="3"/>
      <c r="CZ932" s="3"/>
    </row>
    <row r="933" spans="1:104" ht="14.25" customHeight="1" x14ac:dyDescent="0.25">
      <c r="A933" s="3"/>
      <c r="B933" s="4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3"/>
      <c r="CV933" s="3"/>
      <c r="CW933" s="3"/>
      <c r="CX933" s="3"/>
      <c r="CY933" s="3"/>
      <c r="CZ933" s="3"/>
    </row>
    <row r="934" spans="1:104" ht="14.25" customHeight="1" x14ac:dyDescent="0.25">
      <c r="A934" s="3"/>
      <c r="B934" s="4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3"/>
      <c r="CV934" s="3"/>
      <c r="CW934" s="3"/>
      <c r="CX934" s="3"/>
      <c r="CY934" s="3"/>
      <c r="CZ934" s="3"/>
    </row>
    <row r="935" spans="1:104" ht="14.25" customHeight="1" x14ac:dyDescent="0.25">
      <c r="A935" s="3"/>
      <c r="B935" s="4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3"/>
      <c r="CV935" s="3"/>
      <c r="CW935" s="3"/>
      <c r="CX935" s="3"/>
      <c r="CY935" s="3"/>
      <c r="CZ935" s="3"/>
    </row>
    <row r="936" spans="1:104" ht="14.25" customHeight="1" x14ac:dyDescent="0.25">
      <c r="A936" s="3"/>
      <c r="B936" s="4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3"/>
      <c r="CV936" s="3"/>
      <c r="CW936" s="3"/>
      <c r="CX936" s="3"/>
      <c r="CY936" s="3"/>
      <c r="CZ936" s="3"/>
    </row>
    <row r="937" spans="1:104" ht="14.25" customHeight="1" x14ac:dyDescent="0.25">
      <c r="A937" s="3"/>
      <c r="B937" s="4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3"/>
      <c r="CV937" s="3"/>
      <c r="CW937" s="3"/>
      <c r="CX937" s="3"/>
      <c r="CY937" s="3"/>
      <c r="CZ937" s="3"/>
    </row>
    <row r="938" spans="1:104" ht="14.25" customHeight="1" x14ac:dyDescent="0.25">
      <c r="A938" s="3"/>
      <c r="B938" s="4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3"/>
      <c r="CV938" s="3"/>
      <c r="CW938" s="3"/>
      <c r="CX938" s="3"/>
      <c r="CY938" s="3"/>
      <c r="CZ938" s="3"/>
    </row>
    <row r="939" spans="1:104" ht="14.25" customHeight="1" x14ac:dyDescent="0.25">
      <c r="A939" s="3"/>
      <c r="B939" s="4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3"/>
      <c r="CV939" s="3"/>
      <c r="CW939" s="3"/>
      <c r="CX939" s="3"/>
      <c r="CY939" s="3"/>
      <c r="CZ939" s="3"/>
    </row>
    <row r="940" spans="1:104" ht="14.25" customHeight="1" x14ac:dyDescent="0.25">
      <c r="A940" s="3"/>
      <c r="B940" s="4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3"/>
      <c r="CV940" s="3"/>
      <c r="CW940" s="3"/>
      <c r="CX940" s="3"/>
      <c r="CY940" s="3"/>
      <c r="CZ940" s="3"/>
    </row>
    <row r="941" spans="1:104" ht="14.25" customHeight="1" x14ac:dyDescent="0.25">
      <c r="A941" s="3"/>
      <c r="B941" s="4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3"/>
      <c r="CV941" s="3"/>
      <c r="CW941" s="3"/>
      <c r="CX941" s="3"/>
      <c r="CY941" s="3"/>
      <c r="CZ941" s="3"/>
    </row>
    <row r="942" spans="1:104" ht="14.25" customHeight="1" x14ac:dyDescent="0.25">
      <c r="A942" s="3"/>
      <c r="B942" s="4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3"/>
      <c r="CV942" s="3"/>
      <c r="CW942" s="3"/>
      <c r="CX942" s="3"/>
      <c r="CY942" s="3"/>
      <c r="CZ942" s="3"/>
    </row>
    <row r="943" spans="1:104" ht="14.25" customHeight="1" x14ac:dyDescent="0.25">
      <c r="A943" s="3"/>
      <c r="B943" s="4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3"/>
      <c r="CV943" s="3"/>
      <c r="CW943" s="3"/>
      <c r="CX943" s="3"/>
      <c r="CY943" s="3"/>
      <c r="CZ943" s="3"/>
    </row>
    <row r="944" spans="1:104" ht="14.25" customHeight="1" x14ac:dyDescent="0.25">
      <c r="A944" s="3"/>
      <c r="B944" s="4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3"/>
      <c r="CV944" s="3"/>
      <c r="CW944" s="3"/>
      <c r="CX944" s="3"/>
      <c r="CY944" s="3"/>
      <c r="CZ944" s="3"/>
    </row>
    <row r="945" spans="1:104" ht="14.25" customHeight="1" x14ac:dyDescent="0.25">
      <c r="A945" s="3"/>
      <c r="B945" s="4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3"/>
      <c r="CV945" s="3"/>
      <c r="CW945" s="3"/>
      <c r="CX945" s="3"/>
      <c r="CY945" s="3"/>
      <c r="CZ945" s="3"/>
    </row>
    <row r="946" spans="1:104" ht="14.25" customHeight="1" x14ac:dyDescent="0.25">
      <c r="A946" s="3"/>
      <c r="B946" s="4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3"/>
      <c r="CV946" s="3"/>
      <c r="CW946" s="3"/>
      <c r="CX946" s="3"/>
      <c r="CY946" s="3"/>
      <c r="CZ946" s="3"/>
    </row>
    <row r="947" spans="1:104" ht="14.25" customHeight="1" x14ac:dyDescent="0.25">
      <c r="A947" s="3"/>
      <c r="B947" s="4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3"/>
      <c r="CV947" s="3"/>
      <c r="CW947" s="3"/>
      <c r="CX947" s="3"/>
      <c r="CY947" s="3"/>
      <c r="CZ947" s="3"/>
    </row>
    <row r="948" spans="1:104" ht="14.25" customHeight="1" x14ac:dyDescent="0.25">
      <c r="A948" s="3"/>
      <c r="B948" s="4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3"/>
      <c r="CV948" s="3"/>
      <c r="CW948" s="3"/>
      <c r="CX948" s="3"/>
      <c r="CY948" s="3"/>
      <c r="CZ948" s="3"/>
    </row>
    <row r="949" spans="1:104" ht="14.25" customHeight="1" x14ac:dyDescent="0.25">
      <c r="A949" s="3"/>
      <c r="B949" s="4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3"/>
      <c r="CV949" s="3"/>
      <c r="CW949" s="3"/>
      <c r="CX949" s="3"/>
      <c r="CY949" s="3"/>
      <c r="CZ949" s="3"/>
    </row>
    <row r="950" spans="1:104" ht="14.25" customHeight="1" x14ac:dyDescent="0.25">
      <c r="A950" s="3"/>
      <c r="B950" s="4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3"/>
      <c r="CV950" s="3"/>
      <c r="CW950" s="3"/>
      <c r="CX950" s="3"/>
      <c r="CY950" s="3"/>
      <c r="CZ950" s="3"/>
    </row>
    <row r="951" spans="1:104" ht="14.25" customHeight="1" x14ac:dyDescent="0.25">
      <c r="A951" s="3"/>
      <c r="B951" s="4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3"/>
      <c r="CV951" s="3"/>
      <c r="CW951" s="3"/>
      <c r="CX951" s="3"/>
      <c r="CY951" s="3"/>
      <c r="CZ951" s="3"/>
    </row>
    <row r="952" spans="1:104" ht="14.25" customHeight="1" x14ac:dyDescent="0.25">
      <c r="A952" s="3"/>
      <c r="B952" s="4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3"/>
      <c r="CV952" s="3"/>
      <c r="CW952" s="3"/>
      <c r="CX952" s="3"/>
      <c r="CY952" s="3"/>
      <c r="CZ952" s="3"/>
    </row>
    <row r="953" spans="1:104" ht="14.25" customHeight="1" x14ac:dyDescent="0.25">
      <c r="A953" s="3"/>
      <c r="B953" s="4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3"/>
      <c r="CV953" s="3"/>
      <c r="CW953" s="3"/>
      <c r="CX953" s="3"/>
      <c r="CY953" s="3"/>
      <c r="CZ953" s="3"/>
    </row>
    <row r="954" spans="1:104" ht="14.25" customHeight="1" x14ac:dyDescent="0.25">
      <c r="A954" s="3"/>
      <c r="B954" s="4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3"/>
      <c r="CV954" s="3"/>
      <c r="CW954" s="3"/>
      <c r="CX954" s="3"/>
      <c r="CY954" s="3"/>
      <c r="CZ954" s="3"/>
    </row>
    <row r="955" spans="1:104" ht="14.25" customHeight="1" x14ac:dyDescent="0.25">
      <c r="A955" s="3"/>
      <c r="B955" s="4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3"/>
      <c r="CV955" s="3"/>
      <c r="CW955" s="3"/>
      <c r="CX955" s="3"/>
      <c r="CY955" s="3"/>
      <c r="CZ955" s="3"/>
    </row>
    <row r="956" spans="1:104" ht="14.25" customHeight="1" x14ac:dyDescent="0.25">
      <c r="A956" s="3"/>
      <c r="B956" s="4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3"/>
      <c r="CV956" s="3"/>
      <c r="CW956" s="3"/>
      <c r="CX956" s="3"/>
      <c r="CY956" s="3"/>
      <c r="CZ956" s="3"/>
    </row>
    <row r="957" spans="1:104" ht="14.25" customHeight="1" x14ac:dyDescent="0.25">
      <c r="A957" s="3"/>
      <c r="B957" s="4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3"/>
      <c r="CV957" s="3"/>
      <c r="CW957" s="3"/>
      <c r="CX957" s="3"/>
      <c r="CY957" s="3"/>
      <c r="CZ957" s="3"/>
    </row>
    <row r="958" spans="1:104" ht="14.25" customHeight="1" x14ac:dyDescent="0.25">
      <c r="A958" s="3"/>
      <c r="B958" s="4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3"/>
      <c r="CV958" s="3"/>
      <c r="CW958" s="3"/>
      <c r="CX958" s="3"/>
      <c r="CY958" s="3"/>
      <c r="CZ958" s="3"/>
    </row>
    <row r="959" spans="1:104" ht="14.25" customHeight="1" x14ac:dyDescent="0.25">
      <c r="A959" s="3"/>
      <c r="B959" s="4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3"/>
      <c r="CV959" s="3"/>
      <c r="CW959" s="3"/>
      <c r="CX959" s="3"/>
      <c r="CY959" s="3"/>
      <c r="CZ959" s="3"/>
    </row>
    <row r="960" spans="1:104" ht="14.25" customHeight="1" x14ac:dyDescent="0.25">
      <c r="A960" s="3"/>
      <c r="B960" s="4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3"/>
      <c r="CV960" s="3"/>
      <c r="CW960" s="3"/>
      <c r="CX960" s="3"/>
      <c r="CY960" s="3"/>
      <c r="CZ960" s="3"/>
    </row>
    <row r="961" spans="1:104" ht="14.25" customHeight="1" x14ac:dyDescent="0.25">
      <c r="A961" s="3"/>
      <c r="B961" s="4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3"/>
      <c r="CV961" s="3"/>
      <c r="CW961" s="3"/>
      <c r="CX961" s="3"/>
      <c r="CY961" s="3"/>
      <c r="CZ961" s="3"/>
    </row>
    <row r="962" spans="1:104" ht="14.25" customHeight="1" x14ac:dyDescent="0.25">
      <c r="A962" s="3"/>
      <c r="B962" s="4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3"/>
      <c r="CV962" s="3"/>
      <c r="CW962" s="3"/>
      <c r="CX962" s="3"/>
      <c r="CY962" s="3"/>
      <c r="CZ962" s="3"/>
    </row>
    <row r="963" spans="1:104" ht="14.25" customHeight="1" x14ac:dyDescent="0.25">
      <c r="A963" s="3"/>
      <c r="B963" s="4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3"/>
      <c r="CV963" s="3"/>
      <c r="CW963" s="3"/>
      <c r="CX963" s="3"/>
      <c r="CY963" s="3"/>
      <c r="CZ963" s="3"/>
    </row>
    <row r="964" spans="1:104" ht="14.25" customHeight="1" x14ac:dyDescent="0.25">
      <c r="A964" s="3"/>
      <c r="B964" s="4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3"/>
      <c r="CV964" s="3"/>
      <c r="CW964" s="3"/>
      <c r="CX964" s="3"/>
      <c r="CY964" s="3"/>
      <c r="CZ964" s="3"/>
    </row>
    <row r="965" spans="1:104" ht="14.25" customHeight="1" x14ac:dyDescent="0.25">
      <c r="A965" s="3"/>
      <c r="B965" s="4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3"/>
      <c r="CV965" s="3"/>
      <c r="CW965" s="3"/>
      <c r="CX965" s="3"/>
      <c r="CY965" s="3"/>
      <c r="CZ965" s="3"/>
    </row>
    <row r="966" spans="1:104" ht="14.25" customHeight="1" x14ac:dyDescent="0.25">
      <c r="A966" s="3"/>
      <c r="B966" s="4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3"/>
      <c r="CV966" s="3"/>
      <c r="CW966" s="3"/>
      <c r="CX966" s="3"/>
      <c r="CY966" s="3"/>
      <c r="CZ966" s="3"/>
    </row>
    <row r="967" spans="1:104" ht="14.25" customHeight="1" x14ac:dyDescent="0.25">
      <c r="A967" s="3"/>
      <c r="B967" s="4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3"/>
      <c r="CV967" s="3"/>
      <c r="CW967" s="3"/>
      <c r="CX967" s="3"/>
      <c r="CY967" s="3"/>
      <c r="CZ967" s="3"/>
    </row>
    <row r="968" spans="1:104" ht="14.25" customHeight="1" x14ac:dyDescent="0.25">
      <c r="A968" s="3"/>
      <c r="B968" s="4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3"/>
      <c r="CV968" s="3"/>
      <c r="CW968" s="3"/>
      <c r="CX968" s="3"/>
      <c r="CY968" s="3"/>
      <c r="CZ968" s="3"/>
    </row>
    <row r="969" spans="1:104" ht="14.25" customHeight="1" x14ac:dyDescent="0.25">
      <c r="A969" s="3"/>
      <c r="B969" s="4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3"/>
      <c r="CV969" s="3"/>
      <c r="CW969" s="3"/>
      <c r="CX969" s="3"/>
      <c r="CY969" s="3"/>
      <c r="CZ969" s="3"/>
    </row>
    <row r="970" spans="1:104" ht="14.25" customHeight="1" x14ac:dyDescent="0.25">
      <c r="A970" s="3"/>
      <c r="B970" s="4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3"/>
      <c r="CV970" s="3"/>
      <c r="CW970" s="3"/>
      <c r="CX970" s="3"/>
      <c r="CY970" s="3"/>
      <c r="CZ970" s="3"/>
    </row>
    <row r="971" spans="1:104" ht="14.25" customHeight="1" x14ac:dyDescent="0.25">
      <c r="A971" s="3"/>
      <c r="B971" s="4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3"/>
      <c r="CV971" s="3"/>
      <c r="CW971" s="3"/>
      <c r="CX971" s="3"/>
      <c r="CY971" s="3"/>
      <c r="CZ971" s="3"/>
    </row>
    <row r="972" spans="1:104" ht="14.25" customHeight="1" x14ac:dyDescent="0.25">
      <c r="A972" s="3"/>
      <c r="B972" s="4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3"/>
      <c r="CV972" s="3"/>
      <c r="CW972" s="3"/>
      <c r="CX972" s="3"/>
      <c r="CY972" s="3"/>
      <c r="CZ972" s="3"/>
    </row>
    <row r="973" spans="1:104" ht="14.25" customHeight="1" x14ac:dyDescent="0.25">
      <c r="A973" s="3"/>
      <c r="B973" s="4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3"/>
      <c r="CV973" s="3"/>
      <c r="CW973" s="3"/>
      <c r="CX973" s="3"/>
      <c r="CY973" s="3"/>
      <c r="CZ973" s="3"/>
    </row>
    <row r="974" spans="1:104" ht="14.25" customHeight="1" x14ac:dyDescent="0.25">
      <c r="A974" s="3"/>
      <c r="B974" s="4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3"/>
      <c r="CV974" s="3"/>
      <c r="CW974" s="3"/>
      <c r="CX974" s="3"/>
      <c r="CY974" s="3"/>
      <c r="CZ974" s="3"/>
    </row>
    <row r="975" spans="1:104" ht="14.25" customHeight="1" x14ac:dyDescent="0.25">
      <c r="A975" s="3"/>
      <c r="B975" s="4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3"/>
      <c r="CV975" s="3"/>
      <c r="CW975" s="3"/>
      <c r="CX975" s="3"/>
      <c r="CY975" s="3"/>
      <c r="CZ975" s="3"/>
    </row>
    <row r="976" spans="1:104" ht="14.25" customHeight="1" x14ac:dyDescent="0.25">
      <c r="A976" s="3"/>
      <c r="B976" s="4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3"/>
      <c r="CV976" s="3"/>
      <c r="CW976" s="3"/>
      <c r="CX976" s="3"/>
      <c r="CY976" s="3"/>
      <c r="CZ976" s="3"/>
    </row>
    <row r="977" spans="1:104" ht="14.25" customHeight="1" x14ac:dyDescent="0.25">
      <c r="A977" s="3"/>
      <c r="B977" s="4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3"/>
      <c r="CV977" s="3"/>
      <c r="CW977" s="3"/>
      <c r="CX977" s="3"/>
      <c r="CY977" s="3"/>
      <c r="CZ977" s="3"/>
    </row>
    <row r="978" spans="1:104" ht="14.25" customHeight="1" x14ac:dyDescent="0.25">
      <c r="A978" s="3"/>
      <c r="B978" s="4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3"/>
      <c r="CV978" s="3"/>
      <c r="CW978" s="3"/>
      <c r="CX978" s="3"/>
      <c r="CY978" s="3"/>
      <c r="CZ978" s="3"/>
    </row>
    <row r="979" spans="1:104" ht="14.25" customHeight="1" x14ac:dyDescent="0.25">
      <c r="A979" s="3"/>
      <c r="B979" s="4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3"/>
      <c r="CV979" s="3"/>
      <c r="CW979" s="3"/>
      <c r="CX979" s="3"/>
      <c r="CY979" s="3"/>
      <c r="CZ979" s="3"/>
    </row>
    <row r="980" spans="1:104" ht="14.25" customHeight="1" x14ac:dyDescent="0.25">
      <c r="A980" s="3"/>
      <c r="B980" s="4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3"/>
      <c r="CV980" s="3"/>
      <c r="CW980" s="3"/>
      <c r="CX980" s="3"/>
      <c r="CY980" s="3"/>
      <c r="CZ980" s="3"/>
    </row>
    <row r="981" spans="1:104" ht="14.25" customHeight="1" x14ac:dyDescent="0.25">
      <c r="A981" s="3"/>
      <c r="B981" s="4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3"/>
      <c r="CV981" s="3"/>
      <c r="CW981" s="3"/>
      <c r="CX981" s="3"/>
      <c r="CY981" s="3"/>
      <c r="CZ981" s="3"/>
    </row>
    <row r="982" spans="1:104" ht="14.25" customHeight="1" x14ac:dyDescent="0.25">
      <c r="A982" s="3"/>
      <c r="B982" s="4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3"/>
      <c r="CV982" s="3"/>
      <c r="CW982" s="3"/>
      <c r="CX982" s="3"/>
      <c r="CY982" s="3"/>
      <c r="CZ982" s="3"/>
    </row>
    <row r="983" spans="1:104" ht="14.25" customHeight="1" x14ac:dyDescent="0.25">
      <c r="A983" s="3"/>
      <c r="B983" s="4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3"/>
      <c r="CV983" s="3"/>
      <c r="CW983" s="3"/>
      <c r="CX983" s="3"/>
      <c r="CY983" s="3"/>
      <c r="CZ983" s="3"/>
    </row>
    <row r="984" spans="1:104" ht="14.25" customHeight="1" x14ac:dyDescent="0.25">
      <c r="A984" s="3"/>
      <c r="B984" s="4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3"/>
      <c r="CV984" s="3"/>
      <c r="CW984" s="3"/>
      <c r="CX984" s="3"/>
      <c r="CY984" s="3"/>
      <c r="CZ984" s="3"/>
    </row>
    <row r="985" spans="1:104" ht="14.25" customHeight="1" x14ac:dyDescent="0.25">
      <c r="A985" s="3"/>
      <c r="B985" s="4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3"/>
      <c r="CV985" s="3"/>
      <c r="CW985" s="3"/>
      <c r="CX985" s="3"/>
      <c r="CY985" s="3"/>
      <c r="CZ985" s="3"/>
    </row>
    <row r="986" spans="1:104" ht="14.25" customHeight="1" x14ac:dyDescent="0.25">
      <c r="A986" s="3"/>
      <c r="B986" s="4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3"/>
      <c r="CV986" s="3"/>
      <c r="CW986" s="3"/>
      <c r="CX986" s="3"/>
      <c r="CY986" s="3"/>
      <c r="CZ986" s="3"/>
    </row>
    <row r="987" spans="1:104" ht="14.25" customHeight="1" x14ac:dyDescent="0.25">
      <c r="A987" s="3"/>
      <c r="B987" s="4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3"/>
      <c r="CV987" s="3"/>
      <c r="CW987" s="3"/>
      <c r="CX987" s="3"/>
      <c r="CY987" s="3"/>
      <c r="CZ987" s="3"/>
    </row>
    <row r="988" spans="1:104" ht="14.25" customHeight="1" x14ac:dyDescent="0.25">
      <c r="A988" s="3"/>
      <c r="B988" s="4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3"/>
      <c r="CV988" s="3"/>
      <c r="CW988" s="3"/>
      <c r="CX988" s="3"/>
      <c r="CY988" s="3"/>
      <c r="CZ988" s="3"/>
    </row>
    <row r="989" spans="1:104" ht="14.25" customHeight="1" x14ac:dyDescent="0.25">
      <c r="A989" s="3"/>
      <c r="B989" s="4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3"/>
      <c r="CV989" s="3"/>
      <c r="CW989" s="3"/>
      <c r="CX989" s="3"/>
      <c r="CY989" s="3"/>
      <c r="CZ989" s="3"/>
    </row>
    <row r="990" spans="1:104" ht="14.25" customHeight="1" x14ac:dyDescent="0.25">
      <c r="A990" s="3"/>
      <c r="B990" s="4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3"/>
      <c r="CV990" s="3"/>
      <c r="CW990" s="3"/>
      <c r="CX990" s="3"/>
      <c r="CY990" s="3"/>
      <c r="CZ990" s="3"/>
    </row>
    <row r="991" spans="1:104" ht="14.25" customHeight="1" x14ac:dyDescent="0.25">
      <c r="A991" s="3"/>
      <c r="B991" s="4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3"/>
      <c r="CV991" s="3"/>
      <c r="CW991" s="3"/>
      <c r="CX991" s="3"/>
      <c r="CY991" s="3"/>
      <c r="CZ991" s="3"/>
    </row>
    <row r="992" spans="1:104" ht="14.25" customHeight="1" x14ac:dyDescent="0.25">
      <c r="A992" s="3"/>
      <c r="B992" s="4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3"/>
      <c r="CV992" s="3"/>
      <c r="CW992" s="3"/>
      <c r="CX992" s="3"/>
      <c r="CY992" s="3"/>
      <c r="CZ992" s="3"/>
    </row>
    <row r="993" spans="1:104" ht="14.25" customHeight="1" x14ac:dyDescent="0.25">
      <c r="A993" s="3"/>
      <c r="B993" s="4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3"/>
      <c r="CV993" s="3"/>
      <c r="CW993" s="3"/>
      <c r="CX993" s="3"/>
      <c r="CY993" s="3"/>
      <c r="CZ993" s="3"/>
    </row>
    <row r="994" spans="1:104" ht="14.25" customHeight="1" x14ac:dyDescent="0.25">
      <c r="A994" s="3"/>
      <c r="B994" s="4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3"/>
      <c r="CV994" s="3"/>
      <c r="CW994" s="3"/>
      <c r="CX994" s="3"/>
      <c r="CY994" s="3"/>
      <c r="CZ994" s="3"/>
    </row>
    <row r="995" spans="1:104" ht="14.25" customHeight="1" x14ac:dyDescent="0.25">
      <c r="A995" s="3"/>
      <c r="B995" s="4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3"/>
      <c r="CV995" s="3"/>
      <c r="CW995" s="3"/>
      <c r="CX995" s="3"/>
      <c r="CY995" s="3"/>
      <c r="CZ995" s="3"/>
    </row>
    <row r="996" spans="1:104" ht="14.25" customHeight="1" x14ac:dyDescent="0.25">
      <c r="A996" s="3"/>
      <c r="B996" s="4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3"/>
      <c r="CV996" s="3"/>
      <c r="CW996" s="3"/>
      <c r="CX996" s="3"/>
      <c r="CY996" s="3"/>
      <c r="CZ996" s="3"/>
    </row>
    <row r="997" spans="1:104" ht="14.25" customHeight="1" x14ac:dyDescent="0.25">
      <c r="A997" s="3"/>
      <c r="B997" s="4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3"/>
      <c r="CV997" s="3"/>
      <c r="CW997" s="3"/>
      <c r="CX997" s="3"/>
      <c r="CY997" s="3"/>
      <c r="CZ997" s="3"/>
    </row>
    <row r="998" spans="1:104" ht="14.25" customHeight="1" x14ac:dyDescent="0.25">
      <c r="A998" s="3"/>
      <c r="B998" s="4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3"/>
      <c r="CV998" s="3"/>
      <c r="CW998" s="3"/>
      <c r="CX998" s="3"/>
      <c r="CY998" s="3"/>
      <c r="CZ998" s="3"/>
    </row>
    <row r="999" spans="1:104" ht="14.25" customHeight="1" x14ac:dyDescent="0.25">
      <c r="A999" s="3"/>
      <c r="B999" s="4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3"/>
      <c r="CV999" s="3"/>
      <c r="CW999" s="3"/>
      <c r="CX999" s="3"/>
      <c r="CY999" s="3"/>
      <c r="CZ999" s="3"/>
    </row>
    <row r="1000" spans="1:104" ht="14.25" customHeight="1" x14ac:dyDescent="0.25">
      <c r="A1000" s="3"/>
      <c r="B1000" s="4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3"/>
      <c r="CV1000" s="3"/>
      <c r="CW1000" s="3"/>
      <c r="CX1000" s="3"/>
      <c r="CY1000" s="3"/>
      <c r="CZ1000" s="3"/>
    </row>
  </sheetData>
  <mergeCells count="29">
    <mergeCell ref="BO10:BV10"/>
    <mergeCell ref="BW10:CC10"/>
    <mergeCell ref="CD10:CH10"/>
    <mergeCell ref="A8:B8"/>
    <mergeCell ref="H10:M10"/>
    <mergeCell ref="N10:W10"/>
    <mergeCell ref="X10:AG10"/>
    <mergeCell ref="AH10:AP10"/>
    <mergeCell ref="AQ10:AU10"/>
    <mergeCell ref="BE10:BN10"/>
    <mergeCell ref="CN14:CR14"/>
    <mergeCell ref="H15:W15"/>
    <mergeCell ref="X15:AF15"/>
    <mergeCell ref="AG15:AU15"/>
    <mergeCell ref="BE15:BT15"/>
    <mergeCell ref="BU15:CC15"/>
    <mergeCell ref="CD15:CR15"/>
    <mergeCell ref="AQ14:AU14"/>
    <mergeCell ref="BE14:BJ14"/>
    <mergeCell ref="BK14:BT14"/>
    <mergeCell ref="BU14:CC14"/>
    <mergeCell ref="CD14:CM14"/>
    <mergeCell ref="H11:W11"/>
    <mergeCell ref="X11:AG11"/>
    <mergeCell ref="AH11:AU11"/>
    <mergeCell ref="H14:M14"/>
    <mergeCell ref="N14:W14"/>
    <mergeCell ref="X14:AF14"/>
    <mergeCell ref="AG14:AP14"/>
  </mergeCells>
  <pageMargins left="0.511811024" right="0.511811024" top="0.78740157499999996" bottom="0.78740157499999996" header="0" footer="0"/>
  <pageSetup paperSize="9" fitToHeight="0" orientation="portrait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35.7109375" customWidth="1"/>
    <col min="2" max="3" width="20.7109375" customWidth="1"/>
    <col min="4" max="4" width="30.7109375" customWidth="1"/>
    <col min="5" max="5" width="35.7109375" customWidth="1"/>
    <col min="6" max="8" width="15.7109375" customWidth="1"/>
    <col min="9" max="9" width="25.42578125" customWidth="1"/>
    <col min="10" max="26" width="9.28515625" customWidth="1"/>
  </cols>
  <sheetData>
    <row r="1" spans="1:26" ht="24.75" customHeight="1" x14ac:dyDescent="0.25">
      <c r="A1" s="39" t="s">
        <v>19</v>
      </c>
      <c r="B1" s="1"/>
      <c r="C1" s="1"/>
      <c r="D1" s="1"/>
      <c r="E1" s="1"/>
      <c r="F1" s="114" t="s">
        <v>20</v>
      </c>
      <c r="G1" s="11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5">
      <c r="A2" s="1"/>
      <c r="B2" s="1"/>
      <c r="C2" s="1"/>
      <c r="D2" s="1"/>
      <c r="E2" s="1"/>
      <c r="F2" s="40"/>
      <c r="G2" s="40">
        <v>0.1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customHeight="1" x14ac:dyDescent="0.25">
      <c r="A3" s="41" t="s">
        <v>21</v>
      </c>
      <c r="B3" s="41" t="s">
        <v>22</v>
      </c>
      <c r="C3" s="41" t="s">
        <v>23</v>
      </c>
      <c r="D3" s="41" t="s">
        <v>24</v>
      </c>
      <c r="E3" s="41" t="s">
        <v>25</v>
      </c>
      <c r="F3" s="42" t="s">
        <v>26</v>
      </c>
      <c r="G3" s="42" t="s">
        <v>27</v>
      </c>
      <c r="H3" s="42" t="s">
        <v>28</v>
      </c>
      <c r="I3" s="42" t="s">
        <v>29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24.75" customHeight="1" x14ac:dyDescent="0.25">
      <c r="A4" s="44" t="s">
        <v>30</v>
      </c>
      <c r="B4" s="44"/>
      <c r="C4" s="44"/>
      <c r="D4" s="44"/>
      <c r="E4" s="44"/>
      <c r="F4" s="45">
        <v>2.9</v>
      </c>
      <c r="G4" s="45">
        <v>4</v>
      </c>
      <c r="H4" s="46">
        <f t="shared" ref="H4:H12" si="0">(F4*$F$2)+(G4*$G$2)</f>
        <v>0.4</v>
      </c>
      <c r="I4" s="47" t="e">
        <f>IF($H4&lt;=Referências!#REF!,Referências!#REF!,IF($H4&lt;=Referências!#REF!,Referências!#REF!,IF($H4&lt;=Referências!#REF!,Referências!#REF!,Referências!#REF!)))</f>
        <v>#REF!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5">
      <c r="A5" s="44" t="s">
        <v>30</v>
      </c>
      <c r="B5" s="44"/>
      <c r="C5" s="44"/>
      <c r="D5" s="44"/>
      <c r="E5" s="44"/>
      <c r="F5" s="45">
        <v>3.2</v>
      </c>
      <c r="G5" s="45">
        <v>3.8</v>
      </c>
      <c r="H5" s="46">
        <f t="shared" si="0"/>
        <v>0.38</v>
      </c>
      <c r="I5" s="47" t="e">
        <f>IF($H5&lt;=Referências!#REF!,Referências!#REF!,IF($H5&lt;=Referências!#REF!,Referências!#REF!,IF($H5&lt;=Referências!#REF!,Referências!#REF!,Referências!#REF!)))</f>
        <v>#REF!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 x14ac:dyDescent="0.25">
      <c r="A6" s="44" t="s">
        <v>30</v>
      </c>
      <c r="B6" s="44"/>
      <c r="C6" s="44"/>
      <c r="D6" s="44"/>
      <c r="E6" s="44"/>
      <c r="F6" s="45">
        <v>4.2</v>
      </c>
      <c r="G6" s="45">
        <v>4.5</v>
      </c>
      <c r="H6" s="46">
        <f t="shared" si="0"/>
        <v>0.45</v>
      </c>
      <c r="I6" s="47" t="e">
        <f>IF($H6&lt;=Referências!#REF!,Referências!#REF!,IF($H6&lt;=Referências!#REF!,Referências!#REF!,IF($H6&lt;=Referências!#REF!,Referências!#REF!,Referências!#REF!)))</f>
        <v>#REF!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 x14ac:dyDescent="0.25">
      <c r="A7" s="44" t="s">
        <v>30</v>
      </c>
      <c r="B7" s="44"/>
      <c r="C7" s="44"/>
      <c r="D7" s="44"/>
      <c r="E7" s="44"/>
      <c r="F7" s="45">
        <v>1.5</v>
      </c>
      <c r="G7" s="45">
        <v>2.8</v>
      </c>
      <c r="H7" s="46">
        <f t="shared" si="0"/>
        <v>0.27999999999999997</v>
      </c>
      <c r="I7" s="47" t="e">
        <f>IF($H7&lt;=Referências!#REF!,Referências!#REF!,IF($H7&lt;=Referências!#REF!,Referências!#REF!,IF($H7&lt;=Referências!#REF!,Referências!#REF!,Referências!#REF!)))</f>
        <v>#REF!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 x14ac:dyDescent="0.25">
      <c r="A8" s="44" t="s">
        <v>30</v>
      </c>
      <c r="B8" s="44"/>
      <c r="C8" s="44"/>
      <c r="D8" s="44"/>
      <c r="E8" s="44"/>
      <c r="F8" s="45">
        <v>2.8</v>
      </c>
      <c r="G8" s="45">
        <v>3.6</v>
      </c>
      <c r="H8" s="46">
        <f t="shared" si="0"/>
        <v>0.36000000000000004</v>
      </c>
      <c r="I8" s="47" t="e">
        <f>IF($H8&lt;=Referências!#REF!,Referências!#REF!,IF($H8&lt;=Referências!#REF!,Referências!#REF!,IF($H8&lt;=Referências!#REF!,Referências!#REF!,Referências!#REF!)))</f>
        <v>#REF!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 x14ac:dyDescent="0.25">
      <c r="A9" s="44" t="s">
        <v>30</v>
      </c>
      <c r="B9" s="44"/>
      <c r="C9" s="44"/>
      <c r="D9" s="44"/>
      <c r="E9" s="44"/>
      <c r="F9" s="45">
        <v>3.6</v>
      </c>
      <c r="G9" s="45">
        <v>4</v>
      </c>
      <c r="H9" s="46">
        <f t="shared" si="0"/>
        <v>0.4</v>
      </c>
      <c r="I9" s="47" t="e">
        <f>IF($H9&lt;=Referências!#REF!,Referências!#REF!,IF($H9&lt;=Referências!#REF!,Referências!#REF!,IF($H9&lt;=Referências!#REF!,Referências!#REF!,Referências!#REF!)))</f>
        <v>#REF!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25">
      <c r="A10" s="44" t="s">
        <v>30</v>
      </c>
      <c r="B10" s="44"/>
      <c r="C10" s="44"/>
      <c r="D10" s="44"/>
      <c r="E10" s="44"/>
      <c r="F10" s="45">
        <v>4</v>
      </c>
      <c r="G10" s="45">
        <v>4.0999999999999996</v>
      </c>
      <c r="H10" s="46">
        <f t="shared" si="0"/>
        <v>0.41</v>
      </c>
      <c r="I10" s="47" t="e">
        <f>IF($H10&lt;=Referências!#REF!,Referências!#REF!,IF($H10&lt;=Referências!#REF!,Referências!#REF!,IF($H10&lt;=Referências!#REF!,Referências!#REF!,Referências!#REF!)))</f>
        <v>#REF!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 x14ac:dyDescent="0.25">
      <c r="A11" s="44" t="s">
        <v>30</v>
      </c>
      <c r="B11" s="44"/>
      <c r="C11" s="44"/>
      <c r="D11" s="44"/>
      <c r="E11" s="44"/>
      <c r="F11" s="45">
        <v>1.8</v>
      </c>
      <c r="G11" s="45">
        <v>2.2999999999999998</v>
      </c>
      <c r="H11" s="46">
        <f t="shared" si="0"/>
        <v>0.22999999999999998</v>
      </c>
      <c r="I11" s="47" t="e">
        <f>IF($H11&lt;=Referências!#REF!,Referências!#REF!,IF($H11&lt;=Referências!#REF!,Referências!#REF!,IF($H11&lt;=Referências!#REF!,Referências!#REF!,Referências!#REF!)))</f>
        <v>#REF!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25">
      <c r="A12" s="44" t="s">
        <v>30</v>
      </c>
      <c r="B12" s="44"/>
      <c r="C12" s="44"/>
      <c r="D12" s="44"/>
      <c r="E12" s="44"/>
      <c r="F12" s="45">
        <v>2.2999999999999998</v>
      </c>
      <c r="G12" s="45">
        <v>3.5</v>
      </c>
      <c r="H12" s="46">
        <f t="shared" si="0"/>
        <v>0.35000000000000003</v>
      </c>
      <c r="I12" s="47" t="e">
        <f>IF($H12&lt;=Referências!#REF!,Referências!#REF!,IF($H12&lt;=Referências!#REF!,Referências!#REF!,IF($H12&lt;=Referências!#REF!,Referências!#REF!,Referências!#REF!)))</f>
        <v>#REF!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F1:G1"/>
  </mergeCells>
  <pageMargins left="0.511811024" right="0.511811024" top="0.78740157499999996" bottom="0.78740157499999996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105a99-54fe-4d72-820f-f08ea2cc21bd">
      <Terms xmlns="http://schemas.microsoft.com/office/infopath/2007/PartnerControls"/>
    </lcf76f155ced4ddcb4097134ff3c332f>
    <ReciboouDeclara_x00e7__x00e3_o xmlns="72105a99-54fe-4d72-820f-f08ea2cc21bd" xsi:nil="true"/>
    <_Flow_SignoffStatus xmlns="72105a99-54fe-4d72-820f-f08ea2cc21bd" xsi:nil="true"/>
    <_ip_UnifiedCompliancePolicyProperties xmlns="http://schemas.microsoft.com/sharepoint/v3" xsi:nil="true"/>
    <TaxCatchAll xmlns="2d6eb440-e3a3-43a0-adf0-1f0e6287ff54" xsi:nil="true"/>
    <Formul_x00e1_riodeSolicita_x00e7__x00e3_odeAux_x00ed_lioEducacional xmlns="72105a99-54fe-4d72-820f-f08ea2cc21bd" xsi:nil="true"/>
    <DocumentoComprobat_x00f3_riodaAssinatura xmlns="72105a99-54fe-4d72-820f-f08ea2cc21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DEE71538178E4485A7E96BCCAC7C8F" ma:contentTypeVersion="25" ma:contentTypeDescription="Crie um novo documento." ma:contentTypeScope="" ma:versionID="38519b3ab8d36bf4d5507decc849f139">
  <xsd:schema xmlns:xsd="http://www.w3.org/2001/XMLSchema" xmlns:xs="http://www.w3.org/2001/XMLSchema" xmlns:p="http://schemas.microsoft.com/office/2006/metadata/properties" xmlns:ns1="http://schemas.microsoft.com/sharepoint/v3" xmlns:ns2="2d6eb440-e3a3-43a0-adf0-1f0e6287ff54" xmlns:ns3="72105a99-54fe-4d72-820f-f08ea2cc21bd" targetNamespace="http://schemas.microsoft.com/office/2006/metadata/properties" ma:root="true" ma:fieldsID="b3f987d2856c02c5b33cd4ecabbebb1a" ns1:_="" ns2:_="" ns3:_="">
    <xsd:import namespace="http://schemas.microsoft.com/sharepoint/v3"/>
    <xsd:import namespace="2d6eb440-e3a3-43a0-adf0-1f0e6287ff54"/>
    <xsd:import namespace="72105a99-54fe-4d72-820f-f08ea2cc21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Flow_SignoffStatus" minOccurs="0"/>
                <xsd:element ref="ns3:lcf76f155ced4ddcb4097134ff3c332f" minOccurs="0"/>
                <xsd:element ref="ns2:TaxCatchAll" minOccurs="0"/>
                <xsd:element ref="ns3:Formul_x00e1_riodeSolicita_x00e7__x00e3_odeAux_x00ed_lioEducacional" minOccurs="0"/>
                <xsd:element ref="ns3:ReciboouDeclara_x00e7__x00e3_o" minOccurs="0"/>
                <xsd:element ref="ns3:DocumentoComprobat_x00f3_riodaAssinatura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eb440-e3a3-43a0-adf0-1f0e6287ff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54e61124-0bc5-4cf7-b350-1b799a44508b}" ma:internalName="TaxCatchAll" ma:showField="CatchAllData" ma:web="2d6eb440-e3a3-43a0-adf0-1f0e6287ff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05a99-54fe-4d72-820f-f08ea2cc21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01d7d8c6-00a5-433c-b92c-21431b1ce2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ormul_x00e1_riodeSolicita_x00e7__x00e3_odeAux_x00ed_lioEducacional" ma:index="27" nillable="true" ma:displayName="Formulário de Solicitação de Auxílio Educacional " ma:description="Prestador Jurídico (Ex: Amazon,Udemy) e Prestador Físico (Ex: Professor Idiomas)" ma:format="Dropdown" ma:internalName="Formul_x00e1_riodeSolicita_x00e7__x00e3_odeAux_x00ed_lioEducacional">
      <xsd:simpleType>
        <xsd:restriction base="dms:Text">
          <xsd:maxLength value="255"/>
        </xsd:restriction>
      </xsd:simpleType>
    </xsd:element>
    <xsd:element name="ReciboouDeclara_x00e7__x00e3_o" ma:index="28" nillable="true" ma:displayName="Recibo ou Declaração" ma:format="Dropdown" ma:internalName="ReciboouDeclara_x00e7__x00e3_o">
      <xsd:simpleType>
        <xsd:restriction base="dms:Text">
          <xsd:maxLength value="255"/>
        </xsd:restriction>
      </xsd:simpleType>
    </xsd:element>
    <xsd:element name="DocumentoComprobat_x00f3_riodaAssinatura" ma:index="29" nillable="true" ma:displayName="Documento Comprobatório da Assinatura" ma:format="Dropdown" ma:internalName="DocumentoComprobat_x00f3_riodaAssinatura">
      <xsd:simpleType>
        <xsd:restriction base="dms:Text">
          <xsd:maxLength value="255"/>
        </xsd:restriction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729D84-B2B8-4DB1-A7E3-6B981FA9B5A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105a99-54fe-4d72-820f-f08ea2cc21bd"/>
    <ds:schemaRef ds:uri="2d6eb440-e3a3-43a0-adf0-1f0e6287ff54"/>
  </ds:schemaRefs>
</ds:datastoreItem>
</file>

<file path=customXml/itemProps2.xml><?xml version="1.0" encoding="utf-8"?>
<ds:datastoreItem xmlns:ds="http://schemas.openxmlformats.org/officeDocument/2006/customXml" ds:itemID="{800F1144-D96D-400E-8DA1-79DB946268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B5CA9-1B1E-46FD-9208-57E75425F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Agregados Agro</vt:lpstr>
      <vt:lpstr>Operacional</vt:lpstr>
      <vt:lpstr>Técnico Administrativo</vt:lpstr>
      <vt:lpstr>Encarregado</vt:lpstr>
      <vt:lpstr>Supervisor e Gerente</vt:lpstr>
      <vt:lpstr>Diretor</vt:lpstr>
      <vt:lpstr>Referências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Nathalia Pinto de Almeida</cp:lastModifiedBy>
  <dcterms:created xsi:type="dcterms:W3CDTF">2022-08-30T11:17:21Z</dcterms:created>
  <dcterms:modified xsi:type="dcterms:W3CDTF">2025-06-27T14:09:07Z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0x0101009EDEE71538178E4485A7E96BCCAC7C8F</vt:lpwstr>
  </property>
  <property fmtid="{D5CDD505-2E9C-101B-9397-08002B2CF9AE}" pid="3" name="MediaServiceImageTags">
    <vt:lpwstr/>
  </property>
</Properties>
</file>